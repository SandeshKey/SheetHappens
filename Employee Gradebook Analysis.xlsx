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shsubedi/Developer/AnalyzeData/"/>
    </mc:Choice>
  </mc:AlternateContent>
  <xr:revisionPtr revIDLastSave="0" documentId="8_{EA302BC3-E895-C04B-A308-0384ABD3C214}" xr6:coauthVersionLast="47" xr6:coauthVersionMax="47" xr10:uidLastSave="{00000000-0000-0000-0000-000000000000}"/>
  <bookViews>
    <workbookView xWindow="0" yWindow="0" windowWidth="28800" windowHeight="18000" xr2:uid="{261F078C-3ED9-1549-A268-BBC39E894CB3}"/>
  </bookViews>
  <sheets>
    <sheet name="Sheet1" sheetId="1" r:id="rId1"/>
  </sheets>
  <definedNames>
    <definedName name="_xlchart.v2.0" hidden="1">Sheet1!$G$4:$G$20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N12" i="1" l="1"/>
</calcChain>
</file>

<file path=xl/sharedStrings.xml><?xml version="1.0" encoding="utf-8"?>
<sst xmlns="http://schemas.openxmlformats.org/spreadsheetml/2006/main" count="47" uniqueCount="43">
  <si>
    <t>GRADEBOOK</t>
  </si>
  <si>
    <t>Last Name</t>
  </si>
  <si>
    <t>First Name</t>
  </si>
  <si>
    <t>Kumar</t>
  </si>
  <si>
    <t>Lama</t>
  </si>
  <si>
    <t>Gurung</t>
  </si>
  <si>
    <t>Hawkin</t>
  </si>
  <si>
    <t>Master</t>
  </si>
  <si>
    <t>Kinky</t>
  </si>
  <si>
    <t>Durant</t>
  </si>
  <si>
    <t>Jobs</t>
  </si>
  <si>
    <t>Musk</t>
  </si>
  <si>
    <t>Haoward</t>
  </si>
  <si>
    <t>Kinner</t>
  </si>
  <si>
    <t>Jaiswan</t>
  </si>
  <si>
    <t>Maga</t>
  </si>
  <si>
    <t>Jole</t>
  </si>
  <si>
    <t>Pety</t>
  </si>
  <si>
    <t>Kistern</t>
  </si>
  <si>
    <t>Bopper</t>
  </si>
  <si>
    <t>Peekabo</t>
  </si>
  <si>
    <t>Jumper</t>
  </si>
  <si>
    <t>Holland</t>
  </si>
  <si>
    <t>Rodri</t>
  </si>
  <si>
    <t>Pep</t>
  </si>
  <si>
    <t>Phil</t>
  </si>
  <si>
    <t>Darwin</t>
  </si>
  <si>
    <t>Emma</t>
  </si>
  <si>
    <t>Sandrine</t>
  </si>
  <si>
    <t>Veto</t>
  </si>
  <si>
    <t>Joey</t>
  </si>
  <si>
    <t>Rachel</t>
  </si>
  <si>
    <t>Ross</t>
  </si>
  <si>
    <t>Rossatran</t>
  </si>
  <si>
    <t>Jones</t>
  </si>
  <si>
    <t>Carrie</t>
  </si>
  <si>
    <t>Rod</t>
  </si>
  <si>
    <t>Safety Test</t>
  </si>
  <si>
    <t>Company Philosophy Test</t>
  </si>
  <si>
    <t>Financial Skills Test</t>
  </si>
  <si>
    <t>Drug Test</t>
  </si>
  <si>
    <t>Posible Points</t>
  </si>
  <si>
    <t>Layoff Statys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</si>
</sst>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Sheet1!$B$4:$B$20</c:f>
              <c:strCache>
                <c:ptCount val="17"/>
                <c:pt idx="0">
                  <c:v>Peekabo</c:v>
                </c:pt>
                <c:pt idx="1">
                  <c:v>Jumper</c:v>
                </c:pt>
                <c:pt idx="2">
                  <c:v>Holland</c:v>
                </c:pt>
                <c:pt idx="3">
                  <c:v>Rodri</c:v>
                </c:pt>
                <c:pt idx="4">
                  <c:v>Pep</c:v>
                </c:pt>
                <c:pt idx="5">
                  <c:v>Phil</c:v>
                </c:pt>
                <c:pt idx="6">
                  <c:v>Darwin</c:v>
                </c:pt>
                <c:pt idx="7">
                  <c:v>Emma</c:v>
                </c:pt>
                <c:pt idx="8">
                  <c:v>Sandrine</c:v>
                </c:pt>
                <c:pt idx="9">
                  <c:v>Veto</c:v>
                </c:pt>
                <c:pt idx="10">
                  <c:v>Joey</c:v>
                </c:pt>
                <c:pt idx="11">
                  <c:v>Rachel</c:v>
                </c:pt>
                <c:pt idx="12">
                  <c:v>Ross</c:v>
                </c:pt>
                <c:pt idx="13">
                  <c:v>Rossatran</c:v>
                </c:pt>
                <c:pt idx="14">
                  <c:v>Jones</c:v>
                </c:pt>
                <c:pt idx="15">
                  <c:v>Carrie</c:v>
                </c:pt>
                <c:pt idx="16">
                  <c:v>Rod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10</c:v>
                </c:pt>
                <c:pt idx="1">
                  <c:v>12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4</c:v>
                </c:pt>
                <c:pt idx="9">
                  <c:v>3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0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5-2C4A-BA8B-F9B77D543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4381855"/>
        <c:axId val="964383567"/>
        <c:axId val="0"/>
      </c:bar3DChart>
      <c:catAx>
        <c:axId val="96438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964383567"/>
        <c:crosses val="autoZero"/>
        <c:auto val="1"/>
        <c:lblAlgn val="ctr"/>
        <c:lblOffset val="100"/>
        <c:noMultiLvlLbl val="0"/>
      </c:catAx>
      <c:valAx>
        <c:axId val="9643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96438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40000"/>
                    <a:lumOff val="60000"/>
                  </a:schemeClr>
                </a:gs>
                <a:gs pos="46000">
                  <a:schemeClr val="accent2">
                    <a:lumMod val="95000"/>
                    <a:lumOff val="5000"/>
                  </a:schemeClr>
                </a:gs>
                <a:gs pos="100000">
                  <a:schemeClr val="accent2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 w="50800" cmpd="sng">
              <a:noFill/>
              <a:headEnd type="oval"/>
              <a:tailEnd type="oval"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Peekabo</c:v>
                </c:pt>
                <c:pt idx="1">
                  <c:v>Jumper</c:v>
                </c:pt>
                <c:pt idx="2">
                  <c:v>Holland</c:v>
                </c:pt>
                <c:pt idx="3">
                  <c:v>Rodri</c:v>
                </c:pt>
                <c:pt idx="4">
                  <c:v>Pep</c:v>
                </c:pt>
                <c:pt idx="5">
                  <c:v>Phil</c:v>
                </c:pt>
                <c:pt idx="6">
                  <c:v>Darwin</c:v>
                </c:pt>
                <c:pt idx="7">
                  <c:v>Emma</c:v>
                </c:pt>
                <c:pt idx="8">
                  <c:v>Sandrine</c:v>
                </c:pt>
                <c:pt idx="9">
                  <c:v>Veto</c:v>
                </c:pt>
                <c:pt idx="10">
                  <c:v>Joey</c:v>
                </c:pt>
                <c:pt idx="11">
                  <c:v>Rachel</c:v>
                </c:pt>
                <c:pt idx="12">
                  <c:v>Ross</c:v>
                </c:pt>
                <c:pt idx="13">
                  <c:v>Rossatran</c:v>
                </c:pt>
                <c:pt idx="14">
                  <c:v>Jones</c:v>
                </c:pt>
                <c:pt idx="15">
                  <c:v>Carrie</c:v>
                </c:pt>
                <c:pt idx="16">
                  <c:v>Rod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32</c:v>
                </c:pt>
                <c:pt idx="1">
                  <c:v>43</c:v>
                </c:pt>
                <c:pt idx="2">
                  <c:v>44</c:v>
                </c:pt>
                <c:pt idx="3">
                  <c:v>2</c:v>
                </c:pt>
                <c:pt idx="4">
                  <c:v>23</c:v>
                </c:pt>
                <c:pt idx="5">
                  <c:v>21</c:v>
                </c:pt>
                <c:pt idx="6">
                  <c:v>12</c:v>
                </c:pt>
                <c:pt idx="7">
                  <c:v>45</c:v>
                </c:pt>
                <c:pt idx="8">
                  <c:v>45</c:v>
                </c:pt>
                <c:pt idx="9">
                  <c:v>46</c:v>
                </c:pt>
                <c:pt idx="10">
                  <c:v>46</c:v>
                </c:pt>
                <c:pt idx="11">
                  <c:v>47</c:v>
                </c:pt>
                <c:pt idx="12">
                  <c:v>43</c:v>
                </c:pt>
                <c:pt idx="13">
                  <c:v>23</c:v>
                </c:pt>
                <c:pt idx="14">
                  <c:v>50</c:v>
                </c:pt>
                <c:pt idx="15">
                  <c:v>39</c:v>
                </c:pt>
                <c:pt idx="1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C-8C4D-98DB-95DDC91CF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041807"/>
        <c:axId val="979603007"/>
      </c:barChart>
      <c:catAx>
        <c:axId val="11150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979603007"/>
        <c:crosses val="autoZero"/>
        <c:auto val="1"/>
        <c:lblAlgn val="ctr"/>
        <c:lblOffset val="100"/>
        <c:noMultiLvlLbl val="0"/>
      </c:catAx>
      <c:valAx>
        <c:axId val="9796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11504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Sheet1!$B$4:$B$20</c:f>
              <c:strCache>
                <c:ptCount val="17"/>
                <c:pt idx="0">
                  <c:v>Peekabo</c:v>
                </c:pt>
                <c:pt idx="1">
                  <c:v>Jumper</c:v>
                </c:pt>
                <c:pt idx="2">
                  <c:v>Holland</c:v>
                </c:pt>
                <c:pt idx="3">
                  <c:v>Rodri</c:v>
                </c:pt>
                <c:pt idx="4">
                  <c:v>Pep</c:v>
                </c:pt>
                <c:pt idx="5">
                  <c:v>Phil</c:v>
                </c:pt>
                <c:pt idx="6">
                  <c:v>Darwin</c:v>
                </c:pt>
                <c:pt idx="7">
                  <c:v>Emma</c:v>
                </c:pt>
                <c:pt idx="8">
                  <c:v>Sandrine</c:v>
                </c:pt>
                <c:pt idx="9">
                  <c:v>Veto</c:v>
                </c:pt>
                <c:pt idx="10">
                  <c:v>Joey</c:v>
                </c:pt>
                <c:pt idx="11">
                  <c:v>Rachel</c:v>
                </c:pt>
                <c:pt idx="12">
                  <c:v>Ross</c:v>
                </c:pt>
                <c:pt idx="13">
                  <c:v>Rossatran</c:v>
                </c:pt>
                <c:pt idx="14">
                  <c:v>Jones</c:v>
                </c:pt>
                <c:pt idx="15">
                  <c:v>Carrie</c:v>
                </c:pt>
                <c:pt idx="16">
                  <c:v>Rod</c:v>
                </c:pt>
              </c:strCache>
            </c:strRef>
          </c:cat>
          <c:val>
            <c:numRef>
              <c:f>Sheet1!$F$4:$F$20</c:f>
              <c:numCache>
                <c:formatCode>General</c:formatCode>
                <c:ptCount val="17"/>
                <c:pt idx="0">
                  <c:v>96</c:v>
                </c:pt>
                <c:pt idx="1">
                  <c:v>93</c:v>
                </c:pt>
                <c:pt idx="2">
                  <c:v>82</c:v>
                </c:pt>
                <c:pt idx="3">
                  <c:v>82</c:v>
                </c:pt>
                <c:pt idx="4">
                  <c:v>81</c:v>
                </c:pt>
                <c:pt idx="5">
                  <c:v>80</c:v>
                </c:pt>
                <c:pt idx="6">
                  <c:v>91</c:v>
                </c:pt>
                <c:pt idx="7">
                  <c:v>94</c:v>
                </c:pt>
                <c:pt idx="8">
                  <c:v>100</c:v>
                </c:pt>
                <c:pt idx="9">
                  <c:v>92</c:v>
                </c:pt>
                <c:pt idx="10">
                  <c:v>95</c:v>
                </c:pt>
                <c:pt idx="11">
                  <c:v>79</c:v>
                </c:pt>
                <c:pt idx="12">
                  <c:v>89</c:v>
                </c:pt>
                <c:pt idx="13">
                  <c:v>85</c:v>
                </c:pt>
                <c:pt idx="14">
                  <c:v>88</c:v>
                </c:pt>
                <c:pt idx="15">
                  <c:v>80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5-844D-8940-3A20A37C4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2350271"/>
        <c:axId val="1254349487"/>
        <c:axId val="0"/>
      </c:bar3DChart>
      <c:catAx>
        <c:axId val="10623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254349487"/>
        <c:crosses val="autoZero"/>
        <c:auto val="1"/>
        <c:lblAlgn val="ctr"/>
        <c:lblOffset val="100"/>
        <c:noMultiLvlLbl val="0"/>
      </c:catAx>
      <c:valAx>
        <c:axId val="12543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06235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Sheet1!$B$4:$B$20</c:f>
              <c:strCache>
                <c:ptCount val="17"/>
                <c:pt idx="0">
                  <c:v>Peekabo</c:v>
                </c:pt>
                <c:pt idx="1">
                  <c:v>Jumper</c:v>
                </c:pt>
                <c:pt idx="2">
                  <c:v>Holland</c:v>
                </c:pt>
                <c:pt idx="3">
                  <c:v>Rodri</c:v>
                </c:pt>
                <c:pt idx="4">
                  <c:v>Pep</c:v>
                </c:pt>
                <c:pt idx="5">
                  <c:v>Phil</c:v>
                </c:pt>
                <c:pt idx="6">
                  <c:v>Darwin</c:v>
                </c:pt>
                <c:pt idx="7">
                  <c:v>Emma</c:v>
                </c:pt>
                <c:pt idx="8">
                  <c:v>Sandrine</c:v>
                </c:pt>
                <c:pt idx="9">
                  <c:v>Veto</c:v>
                </c:pt>
                <c:pt idx="10">
                  <c:v>Joey</c:v>
                </c:pt>
                <c:pt idx="11">
                  <c:v>Rachel</c:v>
                </c:pt>
                <c:pt idx="12">
                  <c:v>Ross</c:v>
                </c:pt>
                <c:pt idx="13">
                  <c:v>Rossatran</c:v>
                </c:pt>
                <c:pt idx="14">
                  <c:v>Jones</c:v>
                </c:pt>
                <c:pt idx="15">
                  <c:v>Carrie</c:v>
                </c:pt>
                <c:pt idx="16">
                  <c:v>Rod</c:v>
                </c:pt>
              </c:strCache>
            </c:strRef>
          </c:cat>
          <c:val>
            <c:numRef>
              <c:f>Sheet1!$G$4:$G$20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9-DD40-8884-02D65AE2C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6102751"/>
        <c:axId val="971278367"/>
        <c:axId val="0"/>
      </c:bar3DChart>
      <c:catAx>
        <c:axId val="93610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971278367"/>
        <c:crosses val="autoZero"/>
        <c:auto val="1"/>
        <c:lblAlgn val="ctr"/>
        <c:lblOffset val="100"/>
        <c:noMultiLvlLbl val="0"/>
      </c:catAx>
      <c:valAx>
        <c:axId val="97127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93610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8228</xdr:colOff>
      <xdr:row>1</xdr:row>
      <xdr:rowOff>12306</xdr:rowOff>
    </xdr:from>
    <xdr:to>
      <xdr:col>22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5F734-47DC-3E4E-2372-3D96D46F3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823304</xdr:colOff>
      <xdr:row>20</xdr:row>
      <xdr:rowOff>10663</xdr:rowOff>
    </xdr:from>
    <xdr:to>
      <xdr:col>21</xdr:col>
      <xdr:colOff>812799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AF8071-96C9-5A53-FA8B-833763325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194733</xdr:colOff>
      <xdr:row>0</xdr:row>
      <xdr:rowOff>1659465</xdr:rowOff>
    </xdr:from>
    <xdr:to>
      <xdr:col>29</xdr:col>
      <xdr:colOff>0</xdr:colOff>
      <xdr:row>18</xdr:row>
      <xdr:rowOff>186265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AE13BC-FCE0-FAAC-B611-39F700627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194734</xdr:colOff>
      <xdr:row>20</xdr:row>
      <xdr:rowOff>0</xdr:rowOff>
    </xdr:from>
    <xdr:to>
      <xdr:col>29</xdr:col>
      <xdr:colOff>33867</xdr:colOff>
      <xdr:row>35</xdr:row>
      <xdr:rowOff>186266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754645-9ADD-4DD5-9FBA-87676A0DE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17C8-C55D-9642-9B5A-D6CDE7931A70}">
  <dimension ref="A1:N20"/>
  <sheetViews>
    <sheetView tabSelected="1" zoomScale="75" zoomScaleNormal="125" workbookViewId="0">
      <selection activeCell="M26" sqref="M26"/>
    </sheetView>
  </sheetViews>
  <sheetFormatPr baseColWidth="10" defaultRowHeight="16" x14ac:dyDescent="0.2"/>
  <cols>
    <col min="3" max="3" width="12.6640625" bestFit="1" customWidth="1"/>
  </cols>
  <sheetData>
    <row r="1" spans="1:14" ht="131" x14ac:dyDescent="0.2">
      <c r="A1" s="1" t="s">
        <v>0</v>
      </c>
      <c r="B1" s="1"/>
      <c r="C1" s="1"/>
      <c r="D1" s="2" t="s">
        <v>37</v>
      </c>
      <c r="E1" s="2" t="s">
        <v>38</v>
      </c>
      <c r="F1" s="2" t="s">
        <v>39</v>
      </c>
      <c r="G1" s="2" t="s">
        <v>40</v>
      </c>
      <c r="I1" s="2" t="s">
        <v>37</v>
      </c>
      <c r="J1" s="2" t="s">
        <v>38</v>
      </c>
      <c r="K1" s="2" t="s">
        <v>39</v>
      </c>
      <c r="L1" s="2" t="s">
        <v>40</v>
      </c>
      <c r="N1" s="2" t="s">
        <v>42</v>
      </c>
    </row>
    <row r="2" spans="1:14" x14ac:dyDescent="0.2">
      <c r="C2" t="s">
        <v>41</v>
      </c>
      <c r="D2">
        <v>10</v>
      </c>
      <c r="E2">
        <v>50</v>
      </c>
      <c r="F2">
        <v>100</v>
      </c>
      <c r="G2">
        <v>1</v>
      </c>
    </row>
    <row r="3" spans="1:14" x14ac:dyDescent="0.2">
      <c r="A3" t="s">
        <v>1</v>
      </c>
      <c r="B3" t="s">
        <v>2</v>
      </c>
      <c r="I3" s="3"/>
      <c r="J3" s="3"/>
      <c r="K3" s="3"/>
      <c r="L3" s="3"/>
    </row>
    <row r="4" spans="1:14" x14ac:dyDescent="0.2">
      <c r="A4" t="s">
        <v>19</v>
      </c>
      <c r="B4" t="s">
        <v>20</v>
      </c>
      <c r="D4">
        <v>10</v>
      </c>
      <c r="E4">
        <v>32</v>
      </c>
      <c r="F4">
        <v>96</v>
      </c>
      <c r="G4">
        <v>1</v>
      </c>
      <c r="I4" s="3">
        <f t="shared" ref="I4:I20" si="0">(D4/$D$2)</f>
        <v>1</v>
      </c>
      <c r="J4" s="3">
        <f t="shared" ref="J4:J20" si="1">E4/$E$2</f>
        <v>0.64</v>
      </c>
      <c r="K4" s="3">
        <f t="shared" ref="K4:K20" si="2">(F4/$F$2)</f>
        <v>0.96</v>
      </c>
      <c r="L4" s="3">
        <f t="shared" ref="L4:L20" si="3">G4/$G$2</f>
        <v>1</v>
      </c>
      <c r="N4" t="b">
        <f>OR(I4&lt;0.5, J4&lt;0.5, K4&lt;0.5, L4&lt;0.5, I4&gt;1, J4&gt;1, K4&gt;1, L4&gt;1)</f>
        <v>0</v>
      </c>
    </row>
    <row r="5" spans="1:14" x14ac:dyDescent="0.2">
      <c r="A5" t="s">
        <v>3</v>
      </c>
      <c r="B5" t="s">
        <v>21</v>
      </c>
      <c r="D5">
        <v>12</v>
      </c>
      <c r="E5">
        <v>43</v>
      </c>
      <c r="F5">
        <v>93</v>
      </c>
      <c r="G5">
        <v>1</v>
      </c>
      <c r="I5" s="3">
        <f t="shared" si="0"/>
        <v>1.2</v>
      </c>
      <c r="J5" s="3">
        <f t="shared" si="1"/>
        <v>0.86</v>
      </c>
      <c r="K5" s="3">
        <f t="shared" si="2"/>
        <v>0.93</v>
      </c>
      <c r="L5" s="3">
        <f t="shared" si="3"/>
        <v>1</v>
      </c>
      <c r="N5" t="b">
        <f t="shared" ref="N5:N20" si="4">OR(I5&lt;0.5, J5&lt;0.5, K5&lt;0.5, L5&lt;0.5, I5&gt;1, J5&gt;1, K5&gt;1, L5&gt;1)</f>
        <v>1</v>
      </c>
    </row>
    <row r="6" spans="1:14" x14ac:dyDescent="0.2">
      <c r="A6" t="s">
        <v>4</v>
      </c>
      <c r="B6" t="s">
        <v>22</v>
      </c>
      <c r="D6">
        <v>6</v>
      </c>
      <c r="E6">
        <v>44</v>
      </c>
      <c r="F6">
        <v>82</v>
      </c>
      <c r="G6">
        <v>0</v>
      </c>
      <c r="I6" s="3">
        <f t="shared" si="0"/>
        <v>0.6</v>
      </c>
      <c r="J6" s="3">
        <f t="shared" si="1"/>
        <v>0.88</v>
      </c>
      <c r="K6" s="3">
        <f t="shared" si="2"/>
        <v>0.82</v>
      </c>
      <c r="L6" s="3">
        <f t="shared" si="3"/>
        <v>0</v>
      </c>
      <c r="N6" t="b">
        <f t="shared" si="4"/>
        <v>1</v>
      </c>
    </row>
    <row r="7" spans="1:14" x14ac:dyDescent="0.2">
      <c r="A7" t="s">
        <v>5</v>
      </c>
      <c r="B7" t="s">
        <v>23</v>
      </c>
      <c r="D7">
        <v>8</v>
      </c>
      <c r="E7">
        <v>2</v>
      </c>
      <c r="F7">
        <v>82</v>
      </c>
      <c r="G7">
        <v>1</v>
      </c>
      <c r="I7" s="3">
        <f t="shared" si="0"/>
        <v>0.8</v>
      </c>
      <c r="J7" s="3">
        <f t="shared" si="1"/>
        <v>0.04</v>
      </c>
      <c r="K7" s="3">
        <f t="shared" si="2"/>
        <v>0.82</v>
      </c>
      <c r="L7" s="3">
        <f t="shared" si="3"/>
        <v>1</v>
      </c>
      <c r="N7" t="b">
        <f t="shared" si="4"/>
        <v>1</v>
      </c>
    </row>
    <row r="8" spans="1:14" x14ac:dyDescent="0.2">
      <c r="A8" t="s">
        <v>6</v>
      </c>
      <c r="B8" t="s">
        <v>24</v>
      </c>
      <c r="D8">
        <v>9</v>
      </c>
      <c r="E8">
        <v>23</v>
      </c>
      <c r="F8">
        <v>81</v>
      </c>
      <c r="G8">
        <v>1</v>
      </c>
      <c r="I8" s="3">
        <f t="shared" si="0"/>
        <v>0.9</v>
      </c>
      <c r="J8" s="3">
        <f t="shared" si="1"/>
        <v>0.46</v>
      </c>
      <c r="K8" s="3">
        <f t="shared" si="2"/>
        <v>0.81</v>
      </c>
      <c r="L8" s="3">
        <f t="shared" si="3"/>
        <v>1</v>
      </c>
      <c r="N8" t="b">
        <f t="shared" si="4"/>
        <v>1</v>
      </c>
    </row>
    <row r="9" spans="1:14" x14ac:dyDescent="0.2">
      <c r="A9" t="s">
        <v>7</v>
      </c>
      <c r="B9" t="s">
        <v>25</v>
      </c>
      <c r="D9">
        <v>5</v>
      </c>
      <c r="E9">
        <v>21</v>
      </c>
      <c r="F9">
        <v>80</v>
      </c>
      <c r="G9">
        <v>1</v>
      </c>
      <c r="I9" s="3">
        <f t="shared" si="0"/>
        <v>0.5</v>
      </c>
      <c r="J9" s="3">
        <f t="shared" si="1"/>
        <v>0.42</v>
      </c>
      <c r="K9" s="3">
        <f t="shared" si="2"/>
        <v>0.8</v>
      </c>
      <c r="L9" s="3">
        <f t="shared" si="3"/>
        <v>1</v>
      </c>
      <c r="N9" t="b">
        <f t="shared" si="4"/>
        <v>1</v>
      </c>
    </row>
    <row r="10" spans="1:14" x14ac:dyDescent="0.2">
      <c r="A10" t="s">
        <v>8</v>
      </c>
      <c r="B10" t="s">
        <v>26</v>
      </c>
      <c r="D10">
        <v>8</v>
      </c>
      <c r="E10">
        <v>12</v>
      </c>
      <c r="F10">
        <v>91</v>
      </c>
      <c r="G10">
        <v>1</v>
      </c>
      <c r="I10" s="3">
        <f t="shared" si="0"/>
        <v>0.8</v>
      </c>
      <c r="J10" s="3">
        <f t="shared" si="1"/>
        <v>0.24</v>
      </c>
      <c r="K10" s="3">
        <f t="shared" si="2"/>
        <v>0.91</v>
      </c>
      <c r="L10" s="3">
        <f t="shared" si="3"/>
        <v>1</v>
      </c>
      <c r="N10" t="b">
        <f t="shared" si="4"/>
        <v>1</v>
      </c>
    </row>
    <row r="11" spans="1:14" x14ac:dyDescent="0.2">
      <c r="A11" t="s">
        <v>9</v>
      </c>
      <c r="B11" t="s">
        <v>27</v>
      </c>
      <c r="D11">
        <v>9</v>
      </c>
      <c r="E11">
        <v>45</v>
      </c>
      <c r="F11">
        <v>94</v>
      </c>
      <c r="G11">
        <v>1</v>
      </c>
      <c r="I11" s="3">
        <f t="shared" si="0"/>
        <v>0.9</v>
      </c>
      <c r="J11" s="3">
        <f t="shared" si="1"/>
        <v>0.9</v>
      </c>
      <c r="K11" s="3">
        <f t="shared" si="2"/>
        <v>0.94</v>
      </c>
      <c r="L11" s="3">
        <f t="shared" si="3"/>
        <v>1</v>
      </c>
      <c r="N11" t="b">
        <f t="shared" si="4"/>
        <v>0</v>
      </c>
    </row>
    <row r="12" spans="1:14" x14ac:dyDescent="0.2">
      <c r="A12" t="s">
        <v>10</v>
      </c>
      <c r="B12" t="s">
        <v>28</v>
      </c>
      <c r="D12">
        <v>4</v>
      </c>
      <c r="E12">
        <v>45</v>
      </c>
      <c r="F12">
        <v>100</v>
      </c>
      <c r="G12">
        <v>0</v>
      </c>
      <c r="I12" s="3">
        <f t="shared" si="0"/>
        <v>0.4</v>
      </c>
      <c r="J12" s="3">
        <f t="shared" si="1"/>
        <v>0.9</v>
      </c>
      <c r="K12" s="3">
        <f t="shared" si="2"/>
        <v>1</v>
      </c>
      <c r="L12" s="3">
        <f t="shared" si="3"/>
        <v>0</v>
      </c>
      <c r="N12" t="b">
        <f t="shared" si="4"/>
        <v>1</v>
      </c>
    </row>
    <row r="13" spans="1:14" x14ac:dyDescent="0.2">
      <c r="A13" t="s">
        <v>11</v>
      </c>
      <c r="B13" t="s">
        <v>29</v>
      </c>
      <c r="D13">
        <v>3</v>
      </c>
      <c r="E13">
        <v>46</v>
      </c>
      <c r="F13">
        <v>92</v>
      </c>
      <c r="G13">
        <v>0</v>
      </c>
      <c r="I13" s="3">
        <f t="shared" si="0"/>
        <v>0.3</v>
      </c>
      <c r="J13" s="3">
        <f t="shared" si="1"/>
        <v>0.92</v>
      </c>
      <c r="K13" s="3">
        <f t="shared" si="2"/>
        <v>0.92</v>
      </c>
      <c r="L13" s="3">
        <f t="shared" si="3"/>
        <v>0</v>
      </c>
      <c r="N13" t="b">
        <f t="shared" si="4"/>
        <v>1</v>
      </c>
    </row>
    <row r="14" spans="1:14" x14ac:dyDescent="0.2">
      <c r="A14" t="s">
        <v>12</v>
      </c>
      <c r="B14" t="s">
        <v>30</v>
      </c>
      <c r="D14">
        <v>7</v>
      </c>
      <c r="E14">
        <v>46</v>
      </c>
      <c r="F14">
        <v>95</v>
      </c>
      <c r="G14">
        <v>1</v>
      </c>
      <c r="I14" s="3">
        <f t="shared" si="0"/>
        <v>0.7</v>
      </c>
      <c r="J14" s="3">
        <f t="shared" si="1"/>
        <v>0.92</v>
      </c>
      <c r="K14" s="3">
        <f t="shared" si="2"/>
        <v>0.95</v>
      </c>
      <c r="L14" s="3">
        <f t="shared" si="3"/>
        <v>1</v>
      </c>
      <c r="N14" t="b">
        <f t="shared" si="4"/>
        <v>0</v>
      </c>
    </row>
    <row r="15" spans="1:14" x14ac:dyDescent="0.2">
      <c r="A15" t="s">
        <v>13</v>
      </c>
      <c r="B15" t="s">
        <v>31</v>
      </c>
      <c r="D15">
        <v>8</v>
      </c>
      <c r="E15">
        <v>47</v>
      </c>
      <c r="F15">
        <v>79</v>
      </c>
      <c r="G15">
        <v>1</v>
      </c>
      <c r="I15" s="3">
        <f t="shared" si="0"/>
        <v>0.8</v>
      </c>
      <c r="J15" s="3">
        <f t="shared" si="1"/>
        <v>0.94</v>
      </c>
      <c r="K15" s="3">
        <f t="shared" si="2"/>
        <v>0.79</v>
      </c>
      <c r="L15" s="3">
        <f t="shared" si="3"/>
        <v>1</v>
      </c>
      <c r="N15" t="b">
        <f t="shared" si="4"/>
        <v>0</v>
      </c>
    </row>
    <row r="16" spans="1:14" x14ac:dyDescent="0.2">
      <c r="A16" t="s">
        <v>14</v>
      </c>
      <c r="B16" t="s">
        <v>32</v>
      </c>
      <c r="D16">
        <v>9</v>
      </c>
      <c r="E16">
        <v>43</v>
      </c>
      <c r="F16">
        <v>89</v>
      </c>
      <c r="G16">
        <v>1</v>
      </c>
      <c r="I16" s="3">
        <f t="shared" si="0"/>
        <v>0.9</v>
      </c>
      <c r="J16" s="3">
        <f t="shared" si="1"/>
        <v>0.86</v>
      </c>
      <c r="K16" s="3">
        <f t="shared" si="2"/>
        <v>0.89</v>
      </c>
      <c r="L16" s="3">
        <f t="shared" si="3"/>
        <v>1</v>
      </c>
      <c r="N16" t="b">
        <f t="shared" si="4"/>
        <v>0</v>
      </c>
    </row>
    <row r="17" spans="1:14" x14ac:dyDescent="0.2">
      <c r="A17" t="s">
        <v>15</v>
      </c>
      <c r="B17" t="s">
        <v>33</v>
      </c>
      <c r="D17">
        <v>4</v>
      </c>
      <c r="E17">
        <v>23</v>
      </c>
      <c r="F17">
        <v>85</v>
      </c>
      <c r="G17">
        <v>1</v>
      </c>
      <c r="I17" s="3">
        <f t="shared" si="0"/>
        <v>0.4</v>
      </c>
      <c r="J17" s="3">
        <f t="shared" si="1"/>
        <v>0.46</v>
      </c>
      <c r="K17" s="3">
        <f t="shared" si="2"/>
        <v>0.85</v>
      </c>
      <c r="L17" s="3">
        <f t="shared" si="3"/>
        <v>1</v>
      </c>
      <c r="N17" t="b">
        <f t="shared" si="4"/>
        <v>1</v>
      </c>
    </row>
    <row r="18" spans="1:14" x14ac:dyDescent="0.2">
      <c r="A18" t="s">
        <v>16</v>
      </c>
      <c r="B18" t="s">
        <v>34</v>
      </c>
      <c r="D18">
        <v>9</v>
      </c>
      <c r="E18">
        <v>50</v>
      </c>
      <c r="F18">
        <v>88</v>
      </c>
      <c r="G18">
        <v>1</v>
      </c>
      <c r="I18" s="3">
        <f t="shared" si="0"/>
        <v>0.9</v>
      </c>
      <c r="J18" s="3">
        <f t="shared" si="1"/>
        <v>1</v>
      </c>
      <c r="K18" s="3">
        <f t="shared" si="2"/>
        <v>0.88</v>
      </c>
      <c r="L18" s="3">
        <f t="shared" si="3"/>
        <v>1</v>
      </c>
      <c r="N18" t="b">
        <f t="shared" si="4"/>
        <v>0</v>
      </c>
    </row>
    <row r="19" spans="1:14" x14ac:dyDescent="0.2">
      <c r="A19" t="s">
        <v>17</v>
      </c>
      <c r="B19" t="s">
        <v>35</v>
      </c>
      <c r="D19">
        <v>0</v>
      </c>
      <c r="E19">
        <v>39</v>
      </c>
      <c r="F19">
        <v>80</v>
      </c>
      <c r="G19">
        <v>0</v>
      </c>
      <c r="I19" s="3">
        <f t="shared" si="0"/>
        <v>0</v>
      </c>
      <c r="J19" s="3">
        <f t="shared" si="1"/>
        <v>0.78</v>
      </c>
      <c r="K19" s="3">
        <f t="shared" si="2"/>
        <v>0.8</v>
      </c>
      <c r="L19" s="3">
        <f t="shared" si="3"/>
        <v>0</v>
      </c>
      <c r="N19" t="b">
        <f t="shared" si="4"/>
        <v>1</v>
      </c>
    </row>
    <row r="20" spans="1:14" x14ac:dyDescent="0.2">
      <c r="A20" t="s">
        <v>18</v>
      </c>
      <c r="B20" t="s">
        <v>36</v>
      </c>
      <c r="D20">
        <v>4</v>
      </c>
      <c r="E20">
        <v>24</v>
      </c>
      <c r="F20">
        <v>72</v>
      </c>
      <c r="G20">
        <v>0</v>
      </c>
      <c r="I20" s="3">
        <f t="shared" si="0"/>
        <v>0.4</v>
      </c>
      <c r="J20" s="3">
        <f t="shared" si="1"/>
        <v>0.48</v>
      </c>
      <c r="K20" s="3">
        <f t="shared" si="2"/>
        <v>0.72</v>
      </c>
      <c r="L20" s="3">
        <f t="shared" si="3"/>
        <v>0</v>
      </c>
      <c r="N20" t="b">
        <f t="shared" si="4"/>
        <v>1</v>
      </c>
    </row>
  </sheetData>
  <mergeCells count="1">
    <mergeCell ref="A1:C1"/>
  </mergeCells>
  <conditionalFormatting sqref="D4:D20">
    <cfRule type="iconSet" priority="10">
      <iconSet>
        <cfvo type="percent" val="0"/>
        <cfvo type="percent" val="33"/>
        <cfvo type="percent" val="67"/>
      </iconSet>
    </cfRule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G4:G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4:L20">
    <cfRule type="cellIs" dxfId="6" priority="5" operator="greaterThan">
      <formula>100</formula>
    </cfRule>
    <cfRule type="cellIs" dxfId="7" priority="4" operator="greaterThan">
      <formula>1</formula>
    </cfRule>
    <cfRule type="cellIs" dxfId="5" priority="3" operator="equal">
      <formula>1</formula>
    </cfRule>
  </conditionalFormatting>
  <conditionalFormatting sqref="N4:N20">
    <cfRule type="cellIs" dxfId="2" priority="2" operator="equal">
      <formula>"""False"""</formula>
    </cfRule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Subedi, Sandesh</dc:creator>
  <cp:lastModifiedBy>Subedi, Sandesh</cp:lastModifiedBy>
  <dcterms:created xsi:type="dcterms:W3CDTF">2026-01-10T19:00:04Z</dcterms:created>
  <dcterms:modified xsi:type="dcterms:W3CDTF">2026-01-10T19:49:41Z</dcterms:modified>
</cp:coreProperties>
</file>