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raidermailwright-my.sharepoint.com/personal/subedi_38_wright_edu/Documents/"/>
    </mc:Choice>
  </mc:AlternateContent>
  <xr:revisionPtr revIDLastSave="0" documentId="8_{C91C3269-ED57-48E2-8DEB-0CA27D7CA791}" xr6:coauthVersionLast="47" xr6:coauthVersionMax="47" xr10:uidLastSave="{00000000-0000-0000-0000-000000000000}"/>
  <bookViews>
    <workbookView xWindow="0" yWindow="0" windowWidth="28800" windowHeight="18000" xr2:uid="{8AB210D5-AE3D-344F-899D-D174BF94714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G17" i="1"/>
  <c r="H17" i="1"/>
  <c r="F18" i="1"/>
  <c r="G18" i="1"/>
  <c r="H18" i="1"/>
  <c r="F19" i="1"/>
  <c r="G19" i="1"/>
  <c r="H19" i="1"/>
  <c r="E17" i="1"/>
  <c r="E19" i="1" s="1"/>
  <c r="E18" i="1"/>
  <c r="D18" i="1"/>
  <c r="D17" i="1"/>
  <c r="D19" i="1" s="1"/>
  <c r="O4" i="1"/>
  <c r="P4" i="1"/>
  <c r="Q4" i="1"/>
  <c r="R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N5" i="1"/>
  <c r="N6" i="1"/>
  <c r="N7" i="1"/>
  <c r="N8" i="1"/>
  <c r="N9" i="1"/>
  <c r="N10" i="1"/>
  <c r="N11" i="1"/>
  <c r="N12" i="1"/>
  <c r="N13" i="1"/>
  <c r="N14" i="1"/>
  <c r="N15" i="1"/>
  <c r="N4" i="1"/>
  <c r="K4" i="1"/>
  <c r="L4" i="1"/>
  <c r="M4" i="1"/>
  <c r="K5" i="1"/>
  <c r="L5" i="1"/>
  <c r="M5" i="1"/>
  <c r="K6" i="1"/>
  <c r="U6" i="1" s="1"/>
  <c r="Z6" i="1" s="1"/>
  <c r="L6" i="1"/>
  <c r="V6" i="1" s="1"/>
  <c r="M6" i="1"/>
  <c r="W6" i="1" s="1"/>
  <c r="K7" i="1"/>
  <c r="U7" i="1" s="1"/>
  <c r="Z7" i="1" s="1"/>
  <c r="L7" i="1"/>
  <c r="V7" i="1" s="1"/>
  <c r="M7" i="1"/>
  <c r="W7" i="1" s="1"/>
  <c r="K8" i="1"/>
  <c r="U8" i="1" s="1"/>
  <c r="Z8" i="1" s="1"/>
  <c r="L8" i="1"/>
  <c r="V8" i="1" s="1"/>
  <c r="AA8" i="1" s="1"/>
  <c r="M8" i="1"/>
  <c r="W8" i="1" s="1"/>
  <c r="AB8" i="1" s="1"/>
  <c r="K9" i="1"/>
  <c r="U9" i="1" s="1"/>
  <c r="Z9" i="1" s="1"/>
  <c r="L9" i="1"/>
  <c r="V9" i="1" s="1"/>
  <c r="M9" i="1"/>
  <c r="W9" i="1" s="1"/>
  <c r="AB9" i="1" s="1"/>
  <c r="K10" i="1"/>
  <c r="U10" i="1" s="1"/>
  <c r="Z10" i="1" s="1"/>
  <c r="L10" i="1"/>
  <c r="V10" i="1" s="1"/>
  <c r="M10" i="1"/>
  <c r="W10" i="1" s="1"/>
  <c r="AB10" i="1" s="1"/>
  <c r="K11" i="1"/>
  <c r="U11" i="1" s="1"/>
  <c r="Z11" i="1" s="1"/>
  <c r="L11" i="1"/>
  <c r="V11" i="1" s="1"/>
  <c r="M11" i="1"/>
  <c r="W11" i="1" s="1"/>
  <c r="K12" i="1"/>
  <c r="U12" i="1" s="1"/>
  <c r="Z12" i="1" s="1"/>
  <c r="L12" i="1"/>
  <c r="V12" i="1" s="1"/>
  <c r="AA12" i="1" s="1"/>
  <c r="M12" i="1"/>
  <c r="W12" i="1" s="1"/>
  <c r="K13" i="1"/>
  <c r="U13" i="1" s="1"/>
  <c r="Z13" i="1" s="1"/>
  <c r="L13" i="1"/>
  <c r="V13" i="1" s="1"/>
  <c r="M13" i="1"/>
  <c r="W13" i="1" s="1"/>
  <c r="K14" i="1"/>
  <c r="U14" i="1" s="1"/>
  <c r="Z14" i="1" s="1"/>
  <c r="L14" i="1"/>
  <c r="V14" i="1" s="1"/>
  <c r="AA14" i="1" s="1"/>
  <c r="M14" i="1"/>
  <c r="W14" i="1" s="1"/>
  <c r="K15" i="1"/>
  <c r="U15" i="1" s="1"/>
  <c r="Z15" i="1" s="1"/>
  <c r="L15" i="1"/>
  <c r="V15" i="1" s="1"/>
  <c r="AA15" i="1" s="1"/>
  <c r="M15" i="1"/>
  <c r="W15" i="1" s="1"/>
  <c r="J15" i="1"/>
  <c r="T15" i="1" s="1"/>
  <c r="Y15" i="1" s="1"/>
  <c r="J14" i="1"/>
  <c r="T14" i="1" s="1"/>
  <c r="Y14" i="1" s="1"/>
  <c r="J13" i="1"/>
  <c r="T13" i="1" s="1"/>
  <c r="Y13" i="1" s="1"/>
  <c r="J12" i="1"/>
  <c r="T12" i="1" s="1"/>
  <c r="Y12" i="1" s="1"/>
  <c r="J11" i="1"/>
  <c r="T11" i="1" s="1"/>
  <c r="Y11" i="1" s="1"/>
  <c r="J10" i="1"/>
  <c r="T10" i="1" s="1"/>
  <c r="Y10" i="1" s="1"/>
  <c r="J9" i="1"/>
  <c r="T9" i="1" s="1"/>
  <c r="Y9" i="1" s="1"/>
  <c r="J8" i="1"/>
  <c r="T8" i="1" s="1"/>
  <c r="Y8" i="1" s="1"/>
  <c r="J7" i="1"/>
  <c r="T7" i="1" s="1"/>
  <c r="Y7" i="1" s="1"/>
  <c r="J6" i="1"/>
  <c r="T6" i="1" s="1"/>
  <c r="Y6" i="1" s="1"/>
  <c r="J5" i="1"/>
  <c r="J4" i="1"/>
  <c r="I5" i="1"/>
  <c r="I6" i="1"/>
  <c r="S6" i="1" s="1"/>
  <c r="I7" i="1"/>
  <c r="S7" i="1" s="1"/>
  <c r="I8" i="1"/>
  <c r="S8" i="1" s="1"/>
  <c r="I9" i="1"/>
  <c r="S9" i="1" s="1"/>
  <c r="I10" i="1"/>
  <c r="S10" i="1" s="1"/>
  <c r="I11" i="1"/>
  <c r="S11" i="1" s="1"/>
  <c r="I12" i="1"/>
  <c r="S12" i="1" s="1"/>
  <c r="I13" i="1"/>
  <c r="S13" i="1" s="1"/>
  <c r="I14" i="1"/>
  <c r="S14" i="1" s="1"/>
  <c r="I15" i="1"/>
  <c r="S15" i="1" s="1"/>
  <c r="I4" i="1"/>
  <c r="C19" i="1"/>
  <c r="C18" i="1"/>
  <c r="C17" i="1"/>
  <c r="I17" i="1" l="1"/>
  <c r="I18" i="1"/>
  <c r="S4" i="1"/>
  <c r="I19" i="1"/>
  <c r="S5" i="1"/>
  <c r="J17" i="1"/>
  <c r="J18" i="1"/>
  <c r="T4" i="1"/>
  <c r="J19" i="1"/>
  <c r="T5" i="1"/>
  <c r="Y5" i="1" s="1"/>
  <c r="W5" i="1"/>
  <c r="V5" i="1"/>
  <c r="AA5" i="1" s="1"/>
  <c r="U5" i="1"/>
  <c r="Z5" i="1" s="1"/>
  <c r="M17" i="1"/>
  <c r="M19" i="1" s="1"/>
  <c r="M18" i="1"/>
  <c r="W4" i="1"/>
  <c r="L17" i="1"/>
  <c r="L19" i="1" s="1"/>
  <c r="L18" i="1"/>
  <c r="V4" i="1"/>
  <c r="K17" i="1"/>
  <c r="K19" i="1" s="1"/>
  <c r="K18" i="1"/>
  <c r="U4" i="1"/>
  <c r="AB13" i="1"/>
  <c r="AB6" i="1"/>
  <c r="R17" i="1"/>
  <c r="R18" i="1"/>
  <c r="R19" i="1"/>
  <c r="R20" i="1"/>
  <c r="Q17" i="1"/>
  <c r="Q18" i="1"/>
  <c r="Q19" i="1"/>
  <c r="Q20" i="1"/>
  <c r="P17" i="1"/>
  <c r="P18" i="1"/>
  <c r="P19" i="1"/>
  <c r="P20" i="1"/>
  <c r="O17" i="1"/>
  <c r="O18" i="1"/>
  <c r="O19" i="1"/>
  <c r="O20" i="1"/>
  <c r="AB15" i="1"/>
  <c r="AB14" i="1"/>
  <c r="AB12" i="1"/>
  <c r="AB11" i="1"/>
  <c r="AB7" i="1"/>
  <c r="AB5" i="1"/>
  <c r="AB4" i="1"/>
  <c r="AA13" i="1"/>
  <c r="AA11" i="1"/>
  <c r="AA10" i="1"/>
  <c r="AA9" i="1"/>
  <c r="AA7" i="1"/>
  <c r="AA6" i="1"/>
  <c r="X14" i="1"/>
  <c r="AC14" i="1" s="1"/>
  <c r="X10" i="1"/>
  <c r="AC10" i="1" s="1"/>
  <c r="X6" i="1"/>
  <c r="AC6" i="1" s="1"/>
  <c r="X9" i="1"/>
  <c r="X8" i="1"/>
  <c r="AC8" i="1" s="1"/>
  <c r="X13" i="1"/>
  <c r="X5" i="1"/>
  <c r="AC5" i="1" s="1"/>
  <c r="X15" i="1"/>
  <c r="AC15" i="1" s="1"/>
  <c r="X11" i="1"/>
  <c r="X7" i="1"/>
  <c r="X12" i="1"/>
  <c r="AC12" i="1" s="1"/>
  <c r="X4" i="1"/>
  <c r="N20" i="1"/>
  <c r="N18" i="1"/>
  <c r="N17" i="1"/>
  <c r="N19" i="1"/>
  <c r="X17" i="1" l="1"/>
  <c r="X18" i="1"/>
  <c r="X19" i="1"/>
  <c r="X20" i="1"/>
  <c r="AB17" i="1"/>
  <c r="AB18" i="1"/>
  <c r="AB19" i="1"/>
  <c r="AB20" i="1"/>
  <c r="U17" i="1"/>
  <c r="U18" i="1"/>
  <c r="U19" i="1"/>
  <c r="U20" i="1"/>
  <c r="Z4" i="1"/>
  <c r="AA4" i="1"/>
  <c r="V17" i="1"/>
  <c r="V18" i="1"/>
  <c r="V19" i="1"/>
  <c r="V20" i="1"/>
  <c r="W17" i="1"/>
  <c r="W18" i="1"/>
  <c r="W19" i="1"/>
  <c r="W20" i="1"/>
  <c r="T17" i="1"/>
  <c r="T18" i="1"/>
  <c r="T19" i="1"/>
  <c r="T20" i="1"/>
  <c r="Y4" i="1"/>
  <c r="S17" i="1"/>
  <c r="S18" i="1"/>
  <c r="S19" i="1"/>
  <c r="S20" i="1"/>
  <c r="AC7" i="1"/>
  <c r="AC13" i="1"/>
  <c r="AC11" i="1"/>
  <c r="AC4" i="1"/>
  <c r="AC9" i="1"/>
  <c r="AC17" i="1" l="1"/>
  <c r="AC18" i="1"/>
  <c r="AC19" i="1"/>
  <c r="AC20" i="1"/>
  <c r="Y17" i="1"/>
  <c r="Y18" i="1"/>
  <c r="Y19" i="1"/>
  <c r="Y20" i="1"/>
  <c r="AA17" i="1"/>
  <c r="AA18" i="1"/>
  <c r="AA19" i="1"/>
  <c r="AA20" i="1"/>
  <c r="Z17" i="1"/>
  <c r="Z18" i="1"/>
  <c r="Z19" i="1"/>
  <c r="Z20" i="1"/>
</calcChain>
</file>

<file path=xl/sharedStrings.xml><?xml version="1.0" encoding="utf-8"?>
<sst xmlns="http://schemas.openxmlformats.org/spreadsheetml/2006/main" count="37" uniqueCount="36">
  <si>
    <t>Hours Worked</t>
  </si>
  <si>
    <t>Overtime Hrs</t>
  </si>
  <si>
    <t>Pay</t>
  </si>
  <si>
    <t>OT Bonus</t>
  </si>
  <si>
    <t>Total Pay</t>
  </si>
  <si>
    <t xml:space="preserve">Grand Total </t>
  </si>
  <si>
    <t>Last Name</t>
  </si>
  <si>
    <t>First Name</t>
  </si>
  <si>
    <t>Hr Wage</t>
  </si>
  <si>
    <t>Adhikari</t>
  </si>
  <si>
    <t>Bishow</t>
  </si>
  <si>
    <t>Subedi</t>
  </si>
  <si>
    <t>Kiran</t>
  </si>
  <si>
    <t>Pant</t>
  </si>
  <si>
    <t>Rabin</t>
  </si>
  <si>
    <t>Ganguly</t>
  </si>
  <si>
    <t>Saurabh</t>
  </si>
  <si>
    <t>Sharma</t>
  </si>
  <si>
    <t>Rohit</t>
  </si>
  <si>
    <t>Krishna</t>
  </si>
  <si>
    <t>Upreti</t>
  </si>
  <si>
    <t>Nikhil</t>
  </si>
  <si>
    <t>Rana</t>
  </si>
  <si>
    <t>Arju</t>
  </si>
  <si>
    <t>Shah</t>
  </si>
  <si>
    <t>Birendra</t>
  </si>
  <si>
    <t>Lamichhane</t>
  </si>
  <si>
    <t>Lekh</t>
  </si>
  <si>
    <t>Wagle</t>
  </si>
  <si>
    <t>Kishor</t>
  </si>
  <si>
    <t>Chhetri</t>
  </si>
  <si>
    <t>Purna</t>
  </si>
  <si>
    <t>MIN</t>
  </si>
  <si>
    <t>MAX</t>
  </si>
  <si>
    <t>AVERAGE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</si>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</sst>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7" fontId="0" fillId="2" borderId="0" xfId="0" applyNumberFormat="1" applyFill="1"/>
    <xf numFmtId="0" fontId="0" fillId="2" borderId="0" xfId="0" applyFill="1"/>
    <xf numFmtId="17" fontId="1" fillId="3" borderId="0" xfId="0" applyNumberFormat="1" applyFont="1" applyFill="1"/>
    <xf numFmtId="0" fontId="0" fillId="3" borderId="0" xfId="0" applyFill="1"/>
    <xf numFmtId="17" fontId="0" fillId="4" borderId="0" xfId="0" applyNumberFormat="1" applyFill="1"/>
    <xf numFmtId="17" fontId="1" fillId="4" borderId="0" xfId="0" applyNumberFormat="1" applyFont="1" applyFill="1"/>
    <xf numFmtId="164" fontId="0" fillId="4" borderId="0" xfId="0" applyNumberFormat="1" applyFill="1"/>
    <xf numFmtId="17" fontId="0" fillId="5" borderId="0" xfId="0" applyNumberFormat="1" applyFill="1"/>
    <xf numFmtId="17" fontId="1" fillId="5" borderId="0" xfId="0" applyNumberFormat="1" applyFont="1" applyFill="1"/>
    <xf numFmtId="164" fontId="0" fillId="5" borderId="0" xfId="0" applyNumberFormat="1" applyFill="1"/>
    <xf numFmtId="17" fontId="0" fillId="6" borderId="0" xfId="0" applyNumberFormat="1" applyFill="1"/>
    <xf numFmtId="17" fontId="1" fillId="6" borderId="0" xfId="0" applyNumberFormat="1" applyFont="1" applyFill="1"/>
    <xf numFmtId="164" fontId="0" fillId="6" borderId="0" xfId="0" applyNumberFormat="1" applyFill="1"/>
    <xf numFmtId="0" fontId="0" fillId="7" borderId="0" xfId="0" applyFill="1"/>
    <xf numFmtId="164" fontId="0" fillId="7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A70C-3997-8640-9679-9DD478367A73}">
  <dimension ref="A2:AC20"/>
  <sheetViews>
    <sheetView tabSelected="1" topLeftCell="O1" workbookViewId="0">
      <selection activeCell="AE19" sqref="AE19"/>
    </sheetView>
  </sheetViews>
  <sheetFormatPr defaultColWidth="11" defaultRowHeight="15.95"/>
  <cols>
    <col min="3" max="3" width="13.625" bestFit="1" customWidth="1"/>
    <col min="4" max="13" width="12.875" customWidth="1"/>
    <col min="14" max="14" width="14.625" bestFit="1" customWidth="1"/>
    <col min="15" max="15" width="13" customWidth="1"/>
    <col min="16" max="16" width="12.375" customWidth="1"/>
    <col min="17" max="18" width="11.5" bestFit="1" customWidth="1"/>
    <col min="24" max="28" width="11.5" bestFit="1" customWidth="1"/>
    <col min="29" max="29" width="14.5" customWidth="1"/>
  </cols>
  <sheetData>
    <row r="2" spans="1:29">
      <c r="D2" t="s">
        <v>0</v>
      </c>
      <c r="I2" t="s">
        <v>1</v>
      </c>
      <c r="N2" t="s">
        <v>2</v>
      </c>
      <c r="S2" t="s">
        <v>3</v>
      </c>
      <c r="X2" t="s">
        <v>4</v>
      </c>
      <c r="AC2" s="15" t="s">
        <v>5</v>
      </c>
    </row>
    <row r="3" spans="1:29">
      <c r="A3" t="s">
        <v>6</v>
      </c>
      <c r="B3" t="s">
        <v>7</v>
      </c>
      <c r="C3" t="s">
        <v>8</v>
      </c>
      <c r="D3" s="2">
        <v>36892</v>
      </c>
      <c r="E3" s="2">
        <v>39448</v>
      </c>
      <c r="F3" s="2">
        <v>42005</v>
      </c>
      <c r="G3" s="2">
        <v>44562</v>
      </c>
      <c r="H3" s="2">
        <v>47119</v>
      </c>
      <c r="I3" s="4">
        <v>36892</v>
      </c>
      <c r="J3" s="4">
        <v>39448</v>
      </c>
      <c r="K3" s="4">
        <v>42005</v>
      </c>
      <c r="L3" s="4">
        <v>44562</v>
      </c>
      <c r="M3" s="4">
        <v>47119</v>
      </c>
      <c r="N3" s="6">
        <v>36892</v>
      </c>
      <c r="O3" s="7">
        <v>39448</v>
      </c>
      <c r="P3" s="7">
        <v>42005</v>
      </c>
      <c r="Q3" s="7">
        <v>44562</v>
      </c>
      <c r="R3" s="7">
        <v>47119</v>
      </c>
      <c r="S3" s="9">
        <v>36892</v>
      </c>
      <c r="T3" s="10">
        <v>39448</v>
      </c>
      <c r="U3" s="10">
        <v>42005</v>
      </c>
      <c r="V3" s="10">
        <v>44562</v>
      </c>
      <c r="W3" s="10">
        <v>47119</v>
      </c>
      <c r="X3" s="12">
        <v>36892</v>
      </c>
      <c r="Y3" s="13">
        <v>39448</v>
      </c>
      <c r="Z3" s="13">
        <v>42005</v>
      </c>
      <c r="AA3" s="13">
        <v>44562</v>
      </c>
      <c r="AB3" s="13">
        <v>47119</v>
      </c>
      <c r="AC3" s="15"/>
    </row>
    <row r="4" spans="1:29">
      <c r="A4" t="s">
        <v>9</v>
      </c>
      <c r="B4" t="s">
        <v>10</v>
      </c>
      <c r="C4">
        <v>23</v>
      </c>
      <c r="D4" s="3">
        <v>32</v>
      </c>
      <c r="E4" s="3">
        <v>43</v>
      </c>
      <c r="F4" s="3">
        <v>32</v>
      </c>
      <c r="G4" s="3">
        <v>23</v>
      </c>
      <c r="H4" s="3">
        <v>23</v>
      </c>
      <c r="I4" s="5">
        <f>IF(D4&gt;40, D4-40, 0)</f>
        <v>0</v>
      </c>
      <c r="J4" s="5">
        <f>IF(E4&gt;40, E4-40, 0)</f>
        <v>3</v>
      </c>
      <c r="K4" s="5">
        <f t="shared" ref="K4:M4" si="0">IF(F4&gt;40, F4-40, 0)</f>
        <v>0</v>
      </c>
      <c r="L4" s="5">
        <f t="shared" si="0"/>
        <v>0</v>
      </c>
      <c r="M4" s="5">
        <f t="shared" si="0"/>
        <v>0</v>
      </c>
      <c r="N4" s="8">
        <f>$C4*D4</f>
        <v>736</v>
      </c>
      <c r="O4" s="8">
        <f t="shared" ref="O4:R15" si="1">$C4*E4</f>
        <v>989</v>
      </c>
      <c r="P4" s="8">
        <f t="shared" si="1"/>
        <v>736</v>
      </c>
      <c r="Q4" s="8">
        <f t="shared" si="1"/>
        <v>529</v>
      </c>
      <c r="R4" s="8">
        <f t="shared" si="1"/>
        <v>529</v>
      </c>
      <c r="S4" s="11">
        <f>0.5*I4*$C4</f>
        <v>0</v>
      </c>
      <c r="T4" s="11">
        <f t="shared" ref="T4:W15" si="2">0.5*J4*$C4</f>
        <v>34.5</v>
      </c>
      <c r="U4" s="11">
        <f t="shared" si="2"/>
        <v>0</v>
      </c>
      <c r="V4" s="11">
        <f t="shared" si="2"/>
        <v>0</v>
      </c>
      <c r="W4" s="11">
        <f t="shared" si="2"/>
        <v>0</v>
      </c>
      <c r="X4" s="14">
        <f>SUM(N4+S4)</f>
        <v>736</v>
      </c>
      <c r="Y4" s="14">
        <f t="shared" ref="Y4:AB15" si="3">SUM(O4+T4)</f>
        <v>1023.5</v>
      </c>
      <c r="Z4" s="14">
        <f t="shared" si="3"/>
        <v>736</v>
      </c>
      <c r="AA4" s="14">
        <f t="shared" si="3"/>
        <v>529</v>
      </c>
      <c r="AB4" s="14">
        <f t="shared" si="3"/>
        <v>529</v>
      </c>
      <c r="AC4" s="16">
        <f>SUM(X4:AB4)</f>
        <v>3553.5</v>
      </c>
    </row>
    <row r="5" spans="1:29">
      <c r="A5" t="s">
        <v>11</v>
      </c>
      <c r="B5" t="s">
        <v>12</v>
      </c>
      <c r="C5">
        <v>12</v>
      </c>
      <c r="D5" s="3">
        <v>33</v>
      </c>
      <c r="E5" s="3">
        <v>23</v>
      </c>
      <c r="F5" s="3">
        <v>32</v>
      </c>
      <c r="G5" s="3">
        <v>45</v>
      </c>
      <c r="H5" s="3">
        <v>35</v>
      </c>
      <c r="I5" s="5">
        <f t="shared" ref="I5:J15" si="4">IF(D5&gt;40, D5-40, 0)</f>
        <v>0</v>
      </c>
      <c r="J5" s="5">
        <f t="shared" si="4"/>
        <v>0</v>
      </c>
      <c r="K5" s="5">
        <f t="shared" ref="K5:M5" si="5">IF(F5&gt;40, F5-40, 0)</f>
        <v>0</v>
      </c>
      <c r="L5" s="5">
        <f t="shared" si="5"/>
        <v>5</v>
      </c>
      <c r="M5" s="5">
        <f t="shared" si="5"/>
        <v>0</v>
      </c>
      <c r="N5" s="8">
        <f t="shared" ref="N5:N15" si="6">$C5*D5</f>
        <v>396</v>
      </c>
      <c r="O5" s="8">
        <f t="shared" si="1"/>
        <v>276</v>
      </c>
      <c r="P5" s="8">
        <f t="shared" si="1"/>
        <v>384</v>
      </c>
      <c r="Q5" s="8">
        <f t="shared" si="1"/>
        <v>540</v>
      </c>
      <c r="R5" s="8">
        <f t="shared" si="1"/>
        <v>420</v>
      </c>
      <c r="S5" s="11">
        <f t="shared" ref="S5:S15" si="7">0.5*I5*$C5</f>
        <v>0</v>
      </c>
      <c r="T5" s="11">
        <f t="shared" si="2"/>
        <v>0</v>
      </c>
      <c r="U5" s="11">
        <f t="shared" si="2"/>
        <v>0</v>
      </c>
      <c r="V5" s="11">
        <f t="shared" si="2"/>
        <v>30</v>
      </c>
      <c r="W5" s="11">
        <f t="shared" si="2"/>
        <v>0</v>
      </c>
      <c r="X5" s="14">
        <f>SUM(N5+S5)</f>
        <v>396</v>
      </c>
      <c r="Y5" s="14">
        <f t="shared" si="3"/>
        <v>276</v>
      </c>
      <c r="Z5" s="14">
        <f t="shared" si="3"/>
        <v>384</v>
      </c>
      <c r="AA5" s="14">
        <f t="shared" si="3"/>
        <v>570</v>
      </c>
      <c r="AB5" s="14">
        <f t="shared" si="3"/>
        <v>420</v>
      </c>
      <c r="AC5" s="16">
        <f t="shared" ref="AC5:AC15" si="8">SUM(X5:AB5)</f>
        <v>2046</v>
      </c>
    </row>
    <row r="6" spans="1:29">
      <c r="A6" t="s">
        <v>13</v>
      </c>
      <c r="B6" t="s">
        <v>14</v>
      </c>
      <c r="C6">
        <v>22</v>
      </c>
      <c r="D6" s="3">
        <v>45</v>
      </c>
      <c r="E6" s="3">
        <v>21</v>
      </c>
      <c r="F6" s="3">
        <v>44</v>
      </c>
      <c r="G6" s="3">
        <v>54</v>
      </c>
      <c r="H6" s="3">
        <v>64</v>
      </c>
      <c r="I6" s="5">
        <f t="shared" si="4"/>
        <v>5</v>
      </c>
      <c r="J6" s="5">
        <f t="shared" si="4"/>
        <v>0</v>
      </c>
      <c r="K6" s="5">
        <f t="shared" ref="K6:M6" si="9">IF(F6&gt;40, F6-40, 0)</f>
        <v>4</v>
      </c>
      <c r="L6" s="5">
        <f t="shared" si="9"/>
        <v>14</v>
      </c>
      <c r="M6" s="5">
        <f t="shared" si="9"/>
        <v>24</v>
      </c>
      <c r="N6" s="8">
        <f t="shared" si="6"/>
        <v>990</v>
      </c>
      <c r="O6" s="8">
        <f t="shared" si="1"/>
        <v>462</v>
      </c>
      <c r="P6" s="8">
        <f t="shared" si="1"/>
        <v>968</v>
      </c>
      <c r="Q6" s="8">
        <f t="shared" si="1"/>
        <v>1188</v>
      </c>
      <c r="R6" s="8">
        <f t="shared" si="1"/>
        <v>1408</v>
      </c>
      <c r="S6" s="11">
        <f t="shared" si="7"/>
        <v>55</v>
      </c>
      <c r="T6" s="11">
        <f t="shared" si="2"/>
        <v>0</v>
      </c>
      <c r="U6" s="11">
        <f t="shared" si="2"/>
        <v>44</v>
      </c>
      <c r="V6" s="11">
        <f t="shared" si="2"/>
        <v>154</v>
      </c>
      <c r="W6" s="11">
        <f t="shared" si="2"/>
        <v>264</v>
      </c>
      <c r="X6" s="14">
        <f>SUM(N6+S6)</f>
        <v>1045</v>
      </c>
      <c r="Y6" s="14">
        <f t="shared" si="3"/>
        <v>462</v>
      </c>
      <c r="Z6" s="14">
        <f t="shared" si="3"/>
        <v>1012</v>
      </c>
      <c r="AA6" s="14">
        <f t="shared" si="3"/>
        <v>1342</v>
      </c>
      <c r="AB6" s="14">
        <f t="shared" si="3"/>
        <v>1672</v>
      </c>
      <c r="AC6" s="16">
        <f t="shared" si="8"/>
        <v>5533</v>
      </c>
    </row>
    <row r="7" spans="1:29">
      <c r="A7" t="s">
        <v>15</v>
      </c>
      <c r="B7" t="s">
        <v>16</v>
      </c>
      <c r="C7">
        <v>21</v>
      </c>
      <c r="D7" s="3">
        <v>62</v>
      </c>
      <c r="E7" s="3">
        <v>23</v>
      </c>
      <c r="F7" s="3">
        <v>54</v>
      </c>
      <c r="G7" s="3">
        <v>64</v>
      </c>
      <c r="H7" s="3">
        <v>43</v>
      </c>
      <c r="I7" s="5">
        <f t="shared" si="4"/>
        <v>22</v>
      </c>
      <c r="J7" s="5">
        <f t="shared" si="4"/>
        <v>0</v>
      </c>
      <c r="K7" s="5">
        <f t="shared" ref="K7:M7" si="10">IF(F7&gt;40, F7-40, 0)</f>
        <v>14</v>
      </c>
      <c r="L7" s="5">
        <f t="shared" si="10"/>
        <v>24</v>
      </c>
      <c r="M7" s="5">
        <f t="shared" si="10"/>
        <v>3</v>
      </c>
      <c r="N7" s="8">
        <f t="shared" si="6"/>
        <v>1302</v>
      </c>
      <c r="O7" s="8">
        <f t="shared" si="1"/>
        <v>483</v>
      </c>
      <c r="P7" s="8">
        <f t="shared" si="1"/>
        <v>1134</v>
      </c>
      <c r="Q7" s="8">
        <f t="shared" si="1"/>
        <v>1344</v>
      </c>
      <c r="R7" s="8">
        <f t="shared" si="1"/>
        <v>903</v>
      </c>
      <c r="S7" s="11">
        <f t="shared" si="7"/>
        <v>231</v>
      </c>
      <c r="T7" s="11">
        <f t="shared" si="2"/>
        <v>0</v>
      </c>
      <c r="U7" s="11">
        <f t="shared" si="2"/>
        <v>147</v>
      </c>
      <c r="V7" s="11">
        <f t="shared" si="2"/>
        <v>252</v>
      </c>
      <c r="W7" s="11">
        <f t="shared" si="2"/>
        <v>31.5</v>
      </c>
      <c r="X7" s="14">
        <f>SUM(N7+S7)</f>
        <v>1533</v>
      </c>
      <c r="Y7" s="14">
        <f t="shared" si="3"/>
        <v>483</v>
      </c>
      <c r="Z7" s="14">
        <f t="shared" si="3"/>
        <v>1281</v>
      </c>
      <c r="AA7" s="14">
        <f t="shared" si="3"/>
        <v>1596</v>
      </c>
      <c r="AB7" s="14">
        <f t="shared" si="3"/>
        <v>934.5</v>
      </c>
      <c r="AC7" s="16">
        <f t="shared" si="8"/>
        <v>5827.5</v>
      </c>
    </row>
    <row r="8" spans="1:29">
      <c r="A8" t="s">
        <v>17</v>
      </c>
      <c r="B8" t="s">
        <v>18</v>
      </c>
      <c r="C8">
        <v>32</v>
      </c>
      <c r="D8" s="3">
        <v>12</v>
      </c>
      <c r="E8" s="3">
        <v>34</v>
      </c>
      <c r="F8" s="3">
        <v>34</v>
      </c>
      <c r="G8" s="3">
        <v>23</v>
      </c>
      <c r="H8" s="3">
        <v>33</v>
      </c>
      <c r="I8" s="5">
        <f t="shared" si="4"/>
        <v>0</v>
      </c>
      <c r="J8" s="5">
        <f t="shared" si="4"/>
        <v>0</v>
      </c>
      <c r="K8" s="5">
        <f t="shared" ref="K8:M8" si="11">IF(F8&gt;40, F8-40, 0)</f>
        <v>0</v>
      </c>
      <c r="L8" s="5">
        <f t="shared" si="11"/>
        <v>0</v>
      </c>
      <c r="M8" s="5">
        <f t="shared" si="11"/>
        <v>0</v>
      </c>
      <c r="N8" s="8">
        <f t="shared" si="6"/>
        <v>384</v>
      </c>
      <c r="O8" s="8">
        <f t="shared" si="1"/>
        <v>1088</v>
      </c>
      <c r="P8" s="8">
        <f t="shared" si="1"/>
        <v>1088</v>
      </c>
      <c r="Q8" s="8">
        <f t="shared" si="1"/>
        <v>736</v>
      </c>
      <c r="R8" s="8">
        <f t="shared" si="1"/>
        <v>1056</v>
      </c>
      <c r="S8" s="11">
        <f t="shared" si="7"/>
        <v>0</v>
      </c>
      <c r="T8" s="11">
        <f t="shared" si="2"/>
        <v>0</v>
      </c>
      <c r="U8" s="11">
        <f t="shared" si="2"/>
        <v>0</v>
      </c>
      <c r="V8" s="11">
        <f t="shared" si="2"/>
        <v>0</v>
      </c>
      <c r="W8" s="11">
        <f t="shared" si="2"/>
        <v>0</v>
      </c>
      <c r="X8" s="14">
        <f>SUM(N8+S8)</f>
        <v>384</v>
      </c>
      <c r="Y8" s="14">
        <f t="shared" si="3"/>
        <v>1088</v>
      </c>
      <c r="Z8" s="14">
        <f t="shared" si="3"/>
        <v>1088</v>
      </c>
      <c r="AA8" s="14">
        <f t="shared" si="3"/>
        <v>736</v>
      </c>
      <c r="AB8" s="14">
        <f t="shared" si="3"/>
        <v>1056</v>
      </c>
      <c r="AC8" s="16">
        <f t="shared" si="8"/>
        <v>4352</v>
      </c>
    </row>
    <row r="9" spans="1:29">
      <c r="A9" t="s">
        <v>11</v>
      </c>
      <c r="B9" t="s">
        <v>19</v>
      </c>
      <c r="C9">
        <v>21</v>
      </c>
      <c r="D9" s="3">
        <v>6</v>
      </c>
      <c r="E9" s="3">
        <v>23</v>
      </c>
      <c r="F9" s="3">
        <v>43</v>
      </c>
      <c r="G9" s="3">
        <v>43</v>
      </c>
      <c r="H9" s="3">
        <v>43</v>
      </c>
      <c r="I9" s="5">
        <f t="shared" si="4"/>
        <v>0</v>
      </c>
      <c r="J9" s="5">
        <f t="shared" si="4"/>
        <v>0</v>
      </c>
      <c r="K9" s="5">
        <f t="shared" ref="K9:M9" si="12">IF(F9&gt;40, F9-40, 0)</f>
        <v>3</v>
      </c>
      <c r="L9" s="5">
        <f t="shared" si="12"/>
        <v>3</v>
      </c>
      <c r="M9" s="5">
        <f t="shared" si="12"/>
        <v>3</v>
      </c>
      <c r="N9" s="8">
        <f t="shared" si="6"/>
        <v>126</v>
      </c>
      <c r="O9" s="8">
        <f t="shared" si="1"/>
        <v>483</v>
      </c>
      <c r="P9" s="8">
        <f t="shared" si="1"/>
        <v>903</v>
      </c>
      <c r="Q9" s="8">
        <f t="shared" si="1"/>
        <v>903</v>
      </c>
      <c r="R9" s="8">
        <f t="shared" si="1"/>
        <v>903</v>
      </c>
      <c r="S9" s="11">
        <f t="shared" si="7"/>
        <v>0</v>
      </c>
      <c r="T9" s="11">
        <f t="shared" si="2"/>
        <v>0</v>
      </c>
      <c r="U9" s="11">
        <f t="shared" si="2"/>
        <v>31.5</v>
      </c>
      <c r="V9" s="11">
        <f t="shared" si="2"/>
        <v>31.5</v>
      </c>
      <c r="W9" s="11">
        <f t="shared" si="2"/>
        <v>31.5</v>
      </c>
      <c r="X9" s="14">
        <f>SUM(N9+S9)</f>
        <v>126</v>
      </c>
      <c r="Y9" s="14">
        <f t="shared" si="3"/>
        <v>483</v>
      </c>
      <c r="Z9" s="14">
        <f t="shared" si="3"/>
        <v>934.5</v>
      </c>
      <c r="AA9" s="14">
        <f t="shared" si="3"/>
        <v>934.5</v>
      </c>
      <c r="AB9" s="14">
        <f t="shared" si="3"/>
        <v>934.5</v>
      </c>
      <c r="AC9" s="16">
        <f t="shared" si="8"/>
        <v>3412.5</v>
      </c>
    </row>
    <row r="10" spans="1:29">
      <c r="A10" t="s">
        <v>20</v>
      </c>
      <c r="B10" t="s">
        <v>21</v>
      </c>
      <c r="C10">
        <v>25</v>
      </c>
      <c r="D10" s="3">
        <v>32</v>
      </c>
      <c r="E10" s="3">
        <v>45</v>
      </c>
      <c r="F10" s="3">
        <v>33</v>
      </c>
      <c r="G10" s="3">
        <v>33</v>
      </c>
      <c r="H10" s="3">
        <v>22</v>
      </c>
      <c r="I10" s="5">
        <f t="shared" si="4"/>
        <v>0</v>
      </c>
      <c r="J10" s="5">
        <f t="shared" si="4"/>
        <v>5</v>
      </c>
      <c r="K10" s="5">
        <f t="shared" ref="K10:M10" si="13">IF(F10&gt;40, F10-40, 0)</f>
        <v>0</v>
      </c>
      <c r="L10" s="5">
        <f t="shared" si="13"/>
        <v>0</v>
      </c>
      <c r="M10" s="5">
        <f t="shared" si="13"/>
        <v>0</v>
      </c>
      <c r="N10" s="8">
        <f t="shared" si="6"/>
        <v>800</v>
      </c>
      <c r="O10" s="8">
        <f t="shared" si="1"/>
        <v>1125</v>
      </c>
      <c r="P10" s="8">
        <f t="shared" si="1"/>
        <v>825</v>
      </c>
      <c r="Q10" s="8">
        <f t="shared" si="1"/>
        <v>825</v>
      </c>
      <c r="R10" s="8">
        <f t="shared" si="1"/>
        <v>550</v>
      </c>
      <c r="S10" s="11">
        <f t="shared" si="7"/>
        <v>0</v>
      </c>
      <c r="T10" s="11">
        <f t="shared" si="2"/>
        <v>62.5</v>
      </c>
      <c r="U10" s="11">
        <f t="shared" si="2"/>
        <v>0</v>
      </c>
      <c r="V10" s="11">
        <f t="shared" si="2"/>
        <v>0</v>
      </c>
      <c r="W10" s="11">
        <f t="shared" si="2"/>
        <v>0</v>
      </c>
      <c r="X10" s="14">
        <f>SUM(N10+S10)</f>
        <v>800</v>
      </c>
      <c r="Y10" s="14">
        <f t="shared" si="3"/>
        <v>1187.5</v>
      </c>
      <c r="Z10" s="14">
        <f t="shared" si="3"/>
        <v>825</v>
      </c>
      <c r="AA10" s="14">
        <f t="shared" si="3"/>
        <v>825</v>
      </c>
      <c r="AB10" s="14">
        <f t="shared" si="3"/>
        <v>550</v>
      </c>
      <c r="AC10" s="16">
        <f t="shared" si="8"/>
        <v>4187.5</v>
      </c>
    </row>
    <row r="11" spans="1:29">
      <c r="A11" t="s">
        <v>22</v>
      </c>
      <c r="B11" t="s">
        <v>23</v>
      </c>
      <c r="C11">
        <v>43</v>
      </c>
      <c r="D11" s="3">
        <v>29</v>
      </c>
      <c r="E11" s="3">
        <v>33</v>
      </c>
      <c r="F11" s="3">
        <v>34</v>
      </c>
      <c r="G11" s="3">
        <v>43</v>
      </c>
      <c r="H11" s="3">
        <v>63</v>
      </c>
      <c r="I11" s="5">
        <f t="shared" si="4"/>
        <v>0</v>
      </c>
      <c r="J11" s="5">
        <f t="shared" si="4"/>
        <v>0</v>
      </c>
      <c r="K11" s="5">
        <f t="shared" ref="K11:M11" si="14">IF(F11&gt;40, F11-40, 0)</f>
        <v>0</v>
      </c>
      <c r="L11" s="5">
        <f t="shared" si="14"/>
        <v>3</v>
      </c>
      <c r="M11" s="5">
        <f t="shared" si="14"/>
        <v>23</v>
      </c>
      <c r="N11" s="8">
        <f t="shared" si="6"/>
        <v>1247</v>
      </c>
      <c r="O11" s="8">
        <f t="shared" si="1"/>
        <v>1419</v>
      </c>
      <c r="P11" s="8">
        <f t="shared" si="1"/>
        <v>1462</v>
      </c>
      <c r="Q11" s="8">
        <f t="shared" si="1"/>
        <v>1849</v>
      </c>
      <c r="R11" s="8">
        <f t="shared" si="1"/>
        <v>2709</v>
      </c>
      <c r="S11" s="11">
        <f t="shared" si="7"/>
        <v>0</v>
      </c>
      <c r="T11" s="11">
        <f t="shared" si="2"/>
        <v>0</v>
      </c>
      <c r="U11" s="11">
        <f t="shared" si="2"/>
        <v>0</v>
      </c>
      <c r="V11" s="11">
        <f t="shared" si="2"/>
        <v>64.5</v>
      </c>
      <c r="W11" s="11">
        <f t="shared" si="2"/>
        <v>494.5</v>
      </c>
      <c r="X11" s="14">
        <f>SUM(N11+S11)</f>
        <v>1247</v>
      </c>
      <c r="Y11" s="14">
        <f t="shared" si="3"/>
        <v>1419</v>
      </c>
      <c r="Z11" s="14">
        <f t="shared" si="3"/>
        <v>1462</v>
      </c>
      <c r="AA11" s="14">
        <f t="shared" si="3"/>
        <v>1913.5</v>
      </c>
      <c r="AB11" s="14">
        <f t="shared" si="3"/>
        <v>3203.5</v>
      </c>
      <c r="AC11" s="16">
        <f t="shared" si="8"/>
        <v>9245</v>
      </c>
    </row>
    <row r="12" spans="1:29">
      <c r="A12" t="s">
        <v>24</v>
      </c>
      <c r="B12" t="s">
        <v>25</v>
      </c>
      <c r="C12">
        <v>12</v>
      </c>
      <c r="D12" s="3">
        <v>32</v>
      </c>
      <c r="E12" s="3">
        <v>39</v>
      </c>
      <c r="F12" s="3">
        <v>55</v>
      </c>
      <c r="G12" s="3">
        <v>23</v>
      </c>
      <c r="H12" s="3">
        <v>32</v>
      </c>
      <c r="I12" s="5">
        <f t="shared" si="4"/>
        <v>0</v>
      </c>
      <c r="J12" s="5">
        <f t="shared" si="4"/>
        <v>0</v>
      </c>
      <c r="K12" s="5">
        <f t="shared" ref="K12:M12" si="15">IF(F12&gt;40, F12-40, 0)</f>
        <v>15</v>
      </c>
      <c r="L12" s="5">
        <f t="shared" si="15"/>
        <v>0</v>
      </c>
      <c r="M12" s="5">
        <f t="shared" si="15"/>
        <v>0</v>
      </c>
      <c r="N12" s="8">
        <f t="shared" si="6"/>
        <v>384</v>
      </c>
      <c r="O12" s="8">
        <f t="shared" si="1"/>
        <v>468</v>
      </c>
      <c r="P12" s="8">
        <f t="shared" si="1"/>
        <v>660</v>
      </c>
      <c r="Q12" s="8">
        <f t="shared" si="1"/>
        <v>276</v>
      </c>
      <c r="R12" s="8">
        <f t="shared" si="1"/>
        <v>384</v>
      </c>
      <c r="S12" s="11">
        <f t="shared" si="7"/>
        <v>0</v>
      </c>
      <c r="T12" s="11">
        <f t="shared" si="2"/>
        <v>0</v>
      </c>
      <c r="U12" s="11">
        <f t="shared" si="2"/>
        <v>90</v>
      </c>
      <c r="V12" s="11">
        <f t="shared" si="2"/>
        <v>0</v>
      </c>
      <c r="W12" s="11">
        <f t="shared" si="2"/>
        <v>0</v>
      </c>
      <c r="X12" s="14">
        <f>SUM(N12+S12)</f>
        <v>384</v>
      </c>
      <c r="Y12" s="14">
        <f t="shared" si="3"/>
        <v>468</v>
      </c>
      <c r="Z12" s="14">
        <f t="shared" si="3"/>
        <v>750</v>
      </c>
      <c r="AA12" s="14">
        <f t="shared" si="3"/>
        <v>276</v>
      </c>
      <c r="AB12" s="14">
        <f t="shared" si="3"/>
        <v>384</v>
      </c>
      <c r="AC12" s="16">
        <f t="shared" si="8"/>
        <v>2262</v>
      </c>
    </row>
    <row r="13" spans="1:29">
      <c r="A13" t="s">
        <v>26</v>
      </c>
      <c r="B13" t="s">
        <v>27</v>
      </c>
      <c r="C13">
        <v>11</v>
      </c>
      <c r="D13" s="3">
        <v>77</v>
      </c>
      <c r="E13" s="3">
        <v>54</v>
      </c>
      <c r="F13" s="3">
        <v>32</v>
      </c>
      <c r="G13" s="3">
        <v>34</v>
      </c>
      <c r="H13" s="3">
        <v>26</v>
      </c>
      <c r="I13" s="5">
        <f t="shared" si="4"/>
        <v>37</v>
      </c>
      <c r="J13" s="5">
        <f t="shared" si="4"/>
        <v>14</v>
      </c>
      <c r="K13" s="5">
        <f t="shared" ref="K13:M13" si="16">IF(F13&gt;40, F13-40, 0)</f>
        <v>0</v>
      </c>
      <c r="L13" s="5">
        <f t="shared" si="16"/>
        <v>0</v>
      </c>
      <c r="M13" s="5">
        <f t="shared" si="16"/>
        <v>0</v>
      </c>
      <c r="N13" s="8">
        <f t="shared" si="6"/>
        <v>847</v>
      </c>
      <c r="O13" s="8">
        <f t="shared" si="1"/>
        <v>594</v>
      </c>
      <c r="P13" s="8">
        <f t="shared" si="1"/>
        <v>352</v>
      </c>
      <c r="Q13" s="8">
        <f t="shared" si="1"/>
        <v>374</v>
      </c>
      <c r="R13" s="8">
        <f t="shared" si="1"/>
        <v>286</v>
      </c>
      <c r="S13" s="11">
        <f t="shared" si="7"/>
        <v>203.5</v>
      </c>
      <c r="T13" s="11">
        <f t="shared" si="2"/>
        <v>77</v>
      </c>
      <c r="U13" s="11">
        <f t="shared" si="2"/>
        <v>0</v>
      </c>
      <c r="V13" s="11">
        <f t="shared" si="2"/>
        <v>0</v>
      </c>
      <c r="W13" s="11">
        <f t="shared" si="2"/>
        <v>0</v>
      </c>
      <c r="X13" s="14">
        <f>SUM(N13+S13)</f>
        <v>1050.5</v>
      </c>
      <c r="Y13" s="14">
        <f t="shared" si="3"/>
        <v>671</v>
      </c>
      <c r="Z13" s="14">
        <f t="shared" si="3"/>
        <v>352</v>
      </c>
      <c r="AA13" s="14">
        <f t="shared" si="3"/>
        <v>374</v>
      </c>
      <c r="AB13" s="14">
        <f t="shared" si="3"/>
        <v>286</v>
      </c>
      <c r="AC13" s="16">
        <f t="shared" si="8"/>
        <v>2733.5</v>
      </c>
    </row>
    <row r="14" spans="1:29">
      <c r="A14" t="s">
        <v>28</v>
      </c>
      <c r="B14" t="s">
        <v>29</v>
      </c>
      <c r="C14">
        <v>41</v>
      </c>
      <c r="D14" s="3">
        <v>40</v>
      </c>
      <c r="E14" s="3">
        <v>34</v>
      </c>
      <c r="F14" s="3">
        <v>26</v>
      </c>
      <c r="G14" s="3">
        <v>56</v>
      </c>
      <c r="H14" s="3">
        <v>74</v>
      </c>
      <c r="I14" s="5">
        <f t="shared" si="4"/>
        <v>0</v>
      </c>
      <c r="J14" s="5">
        <f t="shared" si="4"/>
        <v>0</v>
      </c>
      <c r="K14" s="5">
        <f t="shared" ref="K14:M14" si="17">IF(F14&gt;40, F14-40, 0)</f>
        <v>0</v>
      </c>
      <c r="L14" s="5">
        <f t="shared" si="17"/>
        <v>16</v>
      </c>
      <c r="M14" s="5">
        <f t="shared" si="17"/>
        <v>34</v>
      </c>
      <c r="N14" s="8">
        <f t="shared" si="6"/>
        <v>1640</v>
      </c>
      <c r="O14" s="8">
        <f t="shared" si="1"/>
        <v>1394</v>
      </c>
      <c r="P14" s="8">
        <f t="shared" si="1"/>
        <v>1066</v>
      </c>
      <c r="Q14" s="8">
        <f t="shared" si="1"/>
        <v>2296</v>
      </c>
      <c r="R14" s="8">
        <f t="shared" si="1"/>
        <v>3034</v>
      </c>
      <c r="S14" s="11">
        <f t="shared" si="7"/>
        <v>0</v>
      </c>
      <c r="T14" s="11">
        <f t="shared" si="2"/>
        <v>0</v>
      </c>
      <c r="U14" s="11">
        <f t="shared" si="2"/>
        <v>0</v>
      </c>
      <c r="V14" s="11">
        <f t="shared" si="2"/>
        <v>328</v>
      </c>
      <c r="W14" s="11">
        <f t="shared" si="2"/>
        <v>697</v>
      </c>
      <c r="X14" s="14">
        <f>SUM(N14+S14)</f>
        <v>1640</v>
      </c>
      <c r="Y14" s="14">
        <f t="shared" si="3"/>
        <v>1394</v>
      </c>
      <c r="Z14" s="14">
        <f t="shared" si="3"/>
        <v>1066</v>
      </c>
      <c r="AA14" s="14">
        <f t="shared" si="3"/>
        <v>2624</v>
      </c>
      <c r="AB14" s="14">
        <f t="shared" si="3"/>
        <v>3731</v>
      </c>
      <c r="AC14" s="16">
        <f t="shared" si="8"/>
        <v>10455</v>
      </c>
    </row>
    <row r="15" spans="1:29">
      <c r="A15" t="s">
        <v>30</v>
      </c>
      <c r="B15" t="s">
        <v>31</v>
      </c>
      <c r="C15">
        <v>33</v>
      </c>
      <c r="D15" s="3">
        <v>32</v>
      </c>
      <c r="E15" s="3">
        <v>44</v>
      </c>
      <c r="F15" s="3">
        <v>56</v>
      </c>
      <c r="G15" s="3">
        <v>63</v>
      </c>
      <c r="H15" s="3">
        <v>45</v>
      </c>
      <c r="I15" s="5">
        <f t="shared" si="4"/>
        <v>0</v>
      </c>
      <c r="J15" s="5">
        <f t="shared" si="4"/>
        <v>4</v>
      </c>
      <c r="K15" s="5">
        <f t="shared" ref="K15:M15" si="18">IF(F15&gt;40, F15-40, 0)</f>
        <v>16</v>
      </c>
      <c r="L15" s="5">
        <f t="shared" si="18"/>
        <v>23</v>
      </c>
      <c r="M15" s="5">
        <f t="shared" si="18"/>
        <v>5</v>
      </c>
      <c r="N15" s="8">
        <f t="shared" si="6"/>
        <v>1056</v>
      </c>
      <c r="O15" s="8">
        <f t="shared" si="1"/>
        <v>1452</v>
      </c>
      <c r="P15" s="8">
        <f t="shared" si="1"/>
        <v>1848</v>
      </c>
      <c r="Q15" s="8">
        <f t="shared" si="1"/>
        <v>2079</v>
      </c>
      <c r="R15" s="8">
        <f t="shared" si="1"/>
        <v>1485</v>
      </c>
      <c r="S15" s="11">
        <f t="shared" si="7"/>
        <v>0</v>
      </c>
      <c r="T15" s="11">
        <f t="shared" si="2"/>
        <v>66</v>
      </c>
      <c r="U15" s="11">
        <f t="shared" si="2"/>
        <v>264</v>
      </c>
      <c r="V15" s="11">
        <f t="shared" si="2"/>
        <v>379.5</v>
      </c>
      <c r="W15" s="11">
        <f t="shared" si="2"/>
        <v>82.5</v>
      </c>
      <c r="X15" s="14">
        <f>SUM(N15+S15)</f>
        <v>1056</v>
      </c>
      <c r="Y15" s="14">
        <f t="shared" si="3"/>
        <v>1518</v>
      </c>
      <c r="Z15" s="14">
        <f t="shared" si="3"/>
        <v>2112</v>
      </c>
      <c r="AA15" s="14">
        <f t="shared" si="3"/>
        <v>2458.5</v>
      </c>
      <c r="AB15" s="14">
        <f t="shared" si="3"/>
        <v>1567.5</v>
      </c>
      <c r="AC15" s="16">
        <f t="shared" si="8"/>
        <v>8712</v>
      </c>
    </row>
    <row r="17" spans="1:29">
      <c r="A17" t="s">
        <v>32</v>
      </c>
      <c r="C17" s="1">
        <f>MIN(C4:C15)</f>
        <v>11</v>
      </c>
      <c r="D17">
        <f>MIN(D4:D15)</f>
        <v>6</v>
      </c>
      <c r="E17">
        <f>MIN(E4:E15)</f>
        <v>21</v>
      </c>
      <c r="F17">
        <f t="shared" ref="F17:H17" si="19">MIN(F4:F15)</f>
        <v>26</v>
      </c>
      <c r="G17">
        <f t="shared" si="19"/>
        <v>23</v>
      </c>
      <c r="H17">
        <f t="shared" si="19"/>
        <v>22</v>
      </c>
      <c r="I17">
        <f>MIN(I4:I15)</f>
        <v>0</v>
      </c>
      <c r="J17">
        <f>MIN(J4:J15)</f>
        <v>0</v>
      </c>
      <c r="K17">
        <f t="shared" ref="K17:L17" si="20">MIN(K4:K15)</f>
        <v>0</v>
      </c>
      <c r="L17">
        <f t="shared" si="20"/>
        <v>0</v>
      </c>
      <c r="M17">
        <f>MIN(M4:M15)</f>
        <v>0</v>
      </c>
      <c r="N17" s="1">
        <f>MIN(N4:N15)</f>
        <v>126</v>
      </c>
      <c r="O17" s="1">
        <f t="shared" ref="O17:R17" si="21">MIN(O4:O15)</f>
        <v>276</v>
      </c>
      <c r="P17" s="1">
        <f t="shared" si="21"/>
        <v>352</v>
      </c>
      <c r="Q17" s="1">
        <f t="shared" si="21"/>
        <v>276</v>
      </c>
      <c r="R17" s="1">
        <f t="shared" si="21"/>
        <v>286</v>
      </c>
      <c r="S17" s="1">
        <f>MIN(S4:S15)</f>
        <v>0</v>
      </c>
      <c r="T17" s="1">
        <f t="shared" ref="T17:W17" si="22">MIN(T4:T15)</f>
        <v>0</v>
      </c>
      <c r="U17" s="1">
        <f t="shared" si="22"/>
        <v>0</v>
      </c>
      <c r="V17" s="1">
        <f t="shared" si="22"/>
        <v>0</v>
      </c>
      <c r="W17" s="1">
        <f t="shared" si="22"/>
        <v>0</v>
      </c>
      <c r="X17" s="1">
        <f>MIN(X4:X15)</f>
        <v>126</v>
      </c>
      <c r="Y17" s="1">
        <f t="shared" ref="Y17:AB17" si="23">MIN(Y4:Y15)</f>
        <v>276</v>
      </c>
      <c r="Z17" s="1">
        <f t="shared" si="23"/>
        <v>352</v>
      </c>
      <c r="AA17" s="1">
        <f t="shared" si="23"/>
        <v>276</v>
      </c>
      <c r="AB17" s="1">
        <f t="shared" si="23"/>
        <v>286</v>
      </c>
      <c r="AC17" s="1">
        <f>MIN(AC4:AC15)</f>
        <v>2046</v>
      </c>
    </row>
    <row r="18" spans="1:29">
      <c r="A18" t="s">
        <v>33</v>
      </c>
      <c r="C18" s="1">
        <f>MAX(C4:C15)</f>
        <v>43</v>
      </c>
      <c r="D18">
        <f>MAX(D4:D16)</f>
        <v>77</v>
      </c>
      <c r="E18">
        <f>MAX(E4:E16)</f>
        <v>54</v>
      </c>
      <c r="F18">
        <f t="shared" ref="F18:H18" si="24">MAX(F4:F16)</f>
        <v>56</v>
      </c>
      <c r="G18">
        <f t="shared" si="24"/>
        <v>64</v>
      </c>
      <c r="H18">
        <f t="shared" si="24"/>
        <v>74</v>
      </c>
      <c r="I18">
        <f>MAX(I4:I16)</f>
        <v>37</v>
      </c>
      <c r="J18">
        <f>MAX(J4:J16)</f>
        <v>14</v>
      </c>
      <c r="K18">
        <f t="shared" ref="K18:L18" si="25">MAX(K4:K16)</f>
        <v>16</v>
      </c>
      <c r="L18">
        <f t="shared" si="25"/>
        <v>24</v>
      </c>
      <c r="M18">
        <f>MAX(M4:M16)</f>
        <v>34</v>
      </c>
      <c r="N18" s="1">
        <f>MAX(N4:N15)</f>
        <v>1640</v>
      </c>
      <c r="O18" s="1">
        <f t="shared" ref="O18:R18" si="26">MAX(O4:O15)</f>
        <v>1452</v>
      </c>
      <c r="P18" s="1">
        <f t="shared" si="26"/>
        <v>1848</v>
      </c>
      <c r="Q18" s="1">
        <f t="shared" si="26"/>
        <v>2296</v>
      </c>
      <c r="R18" s="1">
        <f t="shared" si="26"/>
        <v>3034</v>
      </c>
      <c r="S18" s="1">
        <f>MAX(S4:S15)</f>
        <v>231</v>
      </c>
      <c r="T18" s="1">
        <f t="shared" ref="T18:W18" si="27">MAX(T4:T15)</f>
        <v>77</v>
      </c>
      <c r="U18" s="1">
        <f t="shared" si="27"/>
        <v>264</v>
      </c>
      <c r="V18" s="1">
        <f t="shared" si="27"/>
        <v>379.5</v>
      </c>
      <c r="W18" s="1">
        <f t="shared" si="27"/>
        <v>697</v>
      </c>
      <c r="X18" s="1">
        <f>MAX(X4:X15)</f>
        <v>1640</v>
      </c>
      <c r="Y18" s="1">
        <f t="shared" ref="Y18:AB18" si="28">MAX(Y4:Y15)</f>
        <v>1518</v>
      </c>
      <c r="Z18" s="1">
        <f t="shared" si="28"/>
        <v>2112</v>
      </c>
      <c r="AA18" s="1">
        <f t="shared" si="28"/>
        <v>2624</v>
      </c>
      <c r="AB18" s="1">
        <f t="shared" si="28"/>
        <v>3731</v>
      </c>
      <c r="AC18" s="1">
        <f>MAX(AC4:AC15)</f>
        <v>10455</v>
      </c>
    </row>
    <row r="19" spans="1:29">
      <c r="A19" t="s">
        <v>34</v>
      </c>
      <c r="C19" s="1">
        <f>AVERAGE(C4:C15)</f>
        <v>24.666666666666668</v>
      </c>
      <c r="D19">
        <f>AVERAGE(D5:D17)</f>
        <v>33.833333333333336</v>
      </c>
      <c r="E19">
        <f>AVERAGE(E5:E17)</f>
        <v>32.833333333333336</v>
      </c>
      <c r="F19">
        <f t="shared" ref="F19:H19" si="29">AVERAGE(F5:F17)</f>
        <v>39.083333333333336</v>
      </c>
      <c r="G19">
        <f t="shared" si="29"/>
        <v>42</v>
      </c>
      <c r="H19">
        <f t="shared" si="29"/>
        <v>41.833333333333336</v>
      </c>
      <c r="I19">
        <f>AVERAGE(I5:I17)</f>
        <v>5.333333333333333</v>
      </c>
      <c r="J19">
        <f>AVERAGE(J5:J17)</f>
        <v>1.9166666666666667</v>
      </c>
      <c r="K19">
        <f t="shared" ref="K19:L19" si="30">AVERAGE(K5:K17)</f>
        <v>4.333333333333333</v>
      </c>
      <c r="L19">
        <f t="shared" si="30"/>
        <v>7.333333333333333</v>
      </c>
      <c r="M19">
        <f>AVERAGE(M5:M17)</f>
        <v>7.666666666666667</v>
      </c>
      <c r="N19" s="1">
        <f>AVERAGE(N4:N15)</f>
        <v>825.66666666666663</v>
      </c>
      <c r="O19" s="1">
        <f t="shared" ref="O19:R19" si="31">AVERAGE(O4:O15)</f>
        <v>852.75</v>
      </c>
      <c r="P19" s="1">
        <f t="shared" si="31"/>
        <v>952.16666666666663</v>
      </c>
      <c r="Q19" s="1">
        <f t="shared" si="31"/>
        <v>1078.25</v>
      </c>
      <c r="R19" s="1">
        <f t="shared" si="31"/>
        <v>1138.9166666666667</v>
      </c>
      <c r="S19" s="1">
        <f>AVERAGE(S4:S15)</f>
        <v>40.791666666666664</v>
      </c>
      <c r="T19" s="1">
        <f t="shared" ref="T19:W19" si="32">AVERAGE(T4:T15)</f>
        <v>20</v>
      </c>
      <c r="U19" s="1">
        <f t="shared" si="32"/>
        <v>48.041666666666664</v>
      </c>
      <c r="V19" s="1">
        <f t="shared" si="32"/>
        <v>103.29166666666667</v>
      </c>
      <c r="W19" s="1">
        <f t="shared" si="32"/>
        <v>133.41666666666666</v>
      </c>
      <c r="X19" s="1">
        <f>AVERAGE(X4:X15)</f>
        <v>866.45833333333337</v>
      </c>
      <c r="Y19" s="1">
        <f t="shared" ref="Y19:AB19" si="33">AVERAGE(Y4:Y15)</f>
        <v>872.75</v>
      </c>
      <c r="Z19" s="1">
        <f t="shared" si="33"/>
        <v>1000.2083333333334</v>
      </c>
      <c r="AA19" s="1">
        <f t="shared" si="33"/>
        <v>1181.5416666666667</v>
      </c>
      <c r="AB19" s="1">
        <f t="shared" si="33"/>
        <v>1272.3333333333333</v>
      </c>
      <c r="AC19" s="1">
        <f>AVERAGE(AC4:AC15)</f>
        <v>5193.291666666667</v>
      </c>
    </row>
    <row r="20" spans="1:29">
      <c r="A20" t="s">
        <v>35</v>
      </c>
      <c r="C20" s="1"/>
      <c r="N20" s="1">
        <f>SUM(N4:N15)</f>
        <v>9908</v>
      </c>
      <c r="O20" s="1">
        <f t="shared" ref="O20:R20" si="34">SUM(O4:O15)</f>
        <v>10233</v>
      </c>
      <c r="P20" s="1">
        <f t="shared" si="34"/>
        <v>11426</v>
      </c>
      <c r="Q20" s="1">
        <f t="shared" si="34"/>
        <v>12939</v>
      </c>
      <c r="R20" s="1">
        <f t="shared" si="34"/>
        <v>13667</v>
      </c>
      <c r="S20" s="1">
        <f>SUM(S4:S15)</f>
        <v>489.5</v>
      </c>
      <c r="T20" s="1">
        <f t="shared" ref="T20:W20" si="35">SUM(T4:T15)</f>
        <v>240</v>
      </c>
      <c r="U20" s="1">
        <f t="shared" si="35"/>
        <v>576.5</v>
      </c>
      <c r="V20" s="1">
        <f t="shared" si="35"/>
        <v>1239.5</v>
      </c>
      <c r="W20" s="1">
        <f t="shared" si="35"/>
        <v>1601</v>
      </c>
      <c r="X20" s="1">
        <f>SUM(X4:X15)</f>
        <v>10397.5</v>
      </c>
      <c r="Y20" s="1">
        <f t="shared" ref="Y20:AB20" si="36">SUM(Y4:Y15)</f>
        <v>10473</v>
      </c>
      <c r="Z20" s="1">
        <f t="shared" si="36"/>
        <v>12002.5</v>
      </c>
      <c r="AA20" s="1">
        <f t="shared" si="36"/>
        <v>14178.5</v>
      </c>
      <c r="AB20" s="1">
        <f t="shared" si="36"/>
        <v>15268</v>
      </c>
      <c r="AC20" s="1">
        <f>SUM(AC4:AC15)</f>
        <v>62319.5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Subedi, Sandesh</dc:creator>
  <cp:keywords/>
  <dc:description/>
  <cp:lastModifiedBy/>
  <cp:revision/>
  <dcterms:created xsi:type="dcterms:W3CDTF">2026-01-05T15:56:59Z</dcterms:created>
  <dcterms:modified xsi:type="dcterms:W3CDTF">2026-01-06T03:26:52Z</dcterms:modified>
  <cp:category/>
  <cp:contentStatus/>
</cp:coreProperties>
</file>